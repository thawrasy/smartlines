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هيكل الآيبان" sheetId="1" state="visible" r:id="rId3"/>
    <sheet name="رموز البنوك" sheetId="2" state="visible" r:id="rId4"/>
    <sheet name="التحقق من الآيبان" sheetId="3" state="visible" r:id="rId5"/>
    <sheet name="شرح الخوارزمية" sheetId="4" state="visible" r:id="rId6"/>
    <sheet name="تدقيق الملف الاسترشادي" sheetId="5" state="visible" r:id="rId7"/>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4" authorId="0">
      <text>
        <r>
          <rPr>
            <sz val="10"/>
            <rFont val="FreeSans"/>
            <family val="2"/>
          </rPr>
          <t xml:space="preserve">حقل التدقيق = </t>
        </r>
        <r>
          <rPr>
            <sz val="10"/>
            <rFont val="Arial"/>
            <family val="2"/>
          </rPr>
          <t xml:space="preserve">98 − MOD(</t>
        </r>
        <r>
          <rPr>
            <sz val="10"/>
            <rFont val="FreeSans"/>
            <family val="2"/>
          </rPr>
          <t xml:space="preserve">رمز البنك &amp; رقم الحساب </t>
        </r>
        <r>
          <rPr>
            <sz val="10"/>
            <rFont val="Arial"/>
            <family val="2"/>
          </rPr>
          <t xml:space="preserve">&amp; "SA00" </t>
        </r>
        <r>
          <rPr>
            <sz val="10"/>
            <rFont val="FreeSans"/>
            <family val="2"/>
          </rPr>
          <t xml:space="preserve">بعد تحويل الحروف، </t>
        </r>
        <r>
          <rPr>
            <sz val="10"/>
            <rFont val="Arial"/>
            <family val="2"/>
          </rPr>
          <t xml:space="preserve">97)</t>
        </r>
      </text>
    </comment>
  </commentList>
</comments>
</file>

<file path=xl/sharedStrings.xml><?xml version="1.0" encoding="utf-8"?>
<sst xmlns="http://schemas.openxmlformats.org/spreadsheetml/2006/main" count="520" uniqueCount="341">
  <si>
    <t xml:space="preserve">هيكل رقم الآيبان السعودي (ISO 13616) — 24 خانة</t>
  </si>
  <si>
    <t xml:space="preserve">SA + خانتا تدقيق + رمز البنك (خانتان) + رقم الحساب (18 خانة). المرجع: سجل SWIFT للآيبان، صيغة SA2!n2!n18!c</t>
  </si>
  <si>
    <t xml:space="preserve">الجزء</t>
  </si>
  <si>
    <t xml:space="preserve">عدد الخانات</t>
  </si>
  <si>
    <t xml:space="preserve">المواقع</t>
  </si>
  <si>
    <t xml:space="preserve">مثال</t>
  </si>
  <si>
    <t xml:space="preserve">الوصف</t>
  </si>
  <si>
    <t xml:space="preserve">رمز الدولة</t>
  </si>
  <si>
    <t xml:space="preserve">1–2</t>
  </si>
  <si>
    <t xml:space="preserve">SA</t>
  </si>
  <si>
    <r>
      <rPr>
        <sz val="11"/>
        <color theme="1"/>
        <rFont val="FreeSans"/>
        <family val="2"/>
      </rPr>
      <t xml:space="preserve">يرمز للمملكة العربية السعودية </t>
    </r>
    <r>
      <rPr>
        <sz val="11"/>
        <color theme="1"/>
        <rFont val="Calibri"/>
        <family val="2"/>
        <charset val="1"/>
      </rPr>
      <t xml:space="preserve">(ISO 3166). </t>
    </r>
    <r>
      <rPr>
        <sz val="11"/>
        <color theme="1"/>
        <rFont val="FreeSans"/>
        <family val="2"/>
      </rPr>
      <t xml:space="preserve">ثابت لكل الحسابات السعودية</t>
    </r>
    <r>
      <rPr>
        <sz val="11"/>
        <color theme="1"/>
        <rFont val="Calibri"/>
        <family val="2"/>
        <charset val="1"/>
      </rPr>
      <t xml:space="preserve">.</t>
    </r>
  </si>
  <si>
    <t xml:space="preserve">حقل التدقيق</t>
  </si>
  <si>
    <t xml:space="preserve">3–4</t>
  </si>
  <si>
    <t xml:space="preserve">03</t>
  </si>
  <si>
    <r>
      <rPr>
        <sz val="11"/>
        <color theme="1"/>
        <rFont val="FreeSans"/>
        <family val="2"/>
      </rPr>
      <t xml:space="preserve">رقمان يُحسبان بخوارزمية </t>
    </r>
    <r>
      <rPr>
        <sz val="11"/>
        <color theme="1"/>
        <rFont val="Calibri"/>
        <family val="2"/>
        <charset val="1"/>
      </rPr>
      <t xml:space="preserve">MOD-97 </t>
    </r>
    <r>
      <rPr>
        <sz val="11"/>
        <color theme="1"/>
        <rFont val="FreeSans"/>
        <family val="2"/>
      </rPr>
      <t xml:space="preserve">من رمز البنك ورقم الحساب معاً، فهما يختلفان من حساب لآخر حتى داخل البنك نفسه، ولا يوجد حقل تدقيق ثابت للبنك</t>
    </r>
    <r>
      <rPr>
        <sz val="11"/>
        <color theme="1"/>
        <rFont val="Calibri"/>
        <family val="2"/>
        <charset val="1"/>
      </rPr>
      <t xml:space="preserve">. </t>
    </r>
    <r>
      <rPr>
        <sz val="11"/>
        <color theme="1"/>
        <rFont val="FreeSans"/>
        <family val="2"/>
      </rPr>
      <t xml:space="preserve">وظيفتهما كشف أخطاء الإدخال </t>
    </r>
    <r>
      <rPr>
        <sz val="11"/>
        <color theme="1"/>
        <rFont val="Calibri"/>
        <family val="2"/>
        <charset val="1"/>
      </rPr>
      <t xml:space="preserve">(</t>
    </r>
    <r>
      <rPr>
        <sz val="11"/>
        <color theme="1"/>
        <rFont val="FreeSans"/>
        <family val="2"/>
      </rPr>
      <t xml:space="preserve">أي خطأ في خانة واحدة أو تبديل خانتين متجاورتين</t>
    </r>
    <r>
      <rPr>
        <sz val="11"/>
        <color theme="1"/>
        <rFont val="Calibri"/>
        <family val="2"/>
        <charset val="1"/>
      </rPr>
      <t xml:space="preserve">).</t>
    </r>
  </si>
  <si>
    <t xml:space="preserve">رمز البنك</t>
  </si>
  <si>
    <t xml:space="preserve">5–6</t>
  </si>
  <si>
    <t xml:space="preserve">80</t>
  </si>
  <si>
    <r>
      <rPr>
        <sz val="11"/>
        <color theme="1"/>
        <rFont val="FreeSans"/>
        <family val="2"/>
      </rPr>
      <t xml:space="preserve">رقم ثنائي تصدره ساما لكل بنك</t>
    </r>
    <r>
      <rPr>
        <sz val="11"/>
        <color theme="1"/>
        <rFont val="Calibri"/>
        <family val="2"/>
        <charset val="1"/>
      </rPr>
      <t xml:space="preserve">: 80 </t>
    </r>
    <r>
      <rPr>
        <sz val="11"/>
        <color theme="1"/>
        <rFont val="FreeSans"/>
        <family val="2"/>
      </rPr>
      <t xml:space="preserve">مصرف الراجحي، </t>
    </r>
    <r>
      <rPr>
        <sz val="11"/>
        <color theme="1"/>
        <rFont val="Calibri"/>
        <family val="2"/>
        <charset val="1"/>
      </rPr>
      <t xml:space="preserve">10 </t>
    </r>
    <r>
      <rPr>
        <sz val="11"/>
        <color theme="1"/>
        <rFont val="FreeSans"/>
        <family val="2"/>
      </rPr>
      <t xml:space="preserve">البنك الأهلي السعودي، </t>
    </r>
    <r>
      <rPr>
        <sz val="11"/>
        <color theme="1"/>
        <rFont val="Calibri"/>
        <family val="2"/>
        <charset val="1"/>
      </rPr>
      <t xml:space="preserve">20 </t>
    </r>
    <r>
      <rPr>
        <sz val="11"/>
        <color theme="1"/>
        <rFont val="FreeSans"/>
        <family val="2"/>
      </rPr>
      <t xml:space="preserve">بنك الرياض، </t>
    </r>
    <r>
      <rPr>
        <sz val="11"/>
        <color theme="1"/>
        <rFont val="Calibri"/>
        <family val="2"/>
        <charset val="1"/>
      </rPr>
      <t xml:space="preserve">55 </t>
    </r>
    <r>
      <rPr>
        <sz val="11"/>
        <color theme="1"/>
        <rFont val="FreeSans"/>
        <family val="2"/>
      </rPr>
      <t xml:space="preserve">البنك السعودي الفرنسي</t>
    </r>
    <r>
      <rPr>
        <sz val="11"/>
        <color theme="1"/>
        <rFont val="Calibri"/>
        <family val="2"/>
        <charset val="1"/>
      </rPr>
      <t xml:space="preserve">. </t>
    </r>
    <r>
      <rPr>
        <sz val="11"/>
        <color theme="1"/>
        <rFont val="FreeSans"/>
        <family val="2"/>
      </rPr>
      <t xml:space="preserve">الجدول الكامل في ورقة </t>
    </r>
    <r>
      <rPr>
        <sz val="11"/>
        <color theme="1"/>
        <rFont val="Calibri"/>
        <family val="2"/>
        <charset val="1"/>
      </rPr>
      <t xml:space="preserve">«</t>
    </r>
    <r>
      <rPr>
        <sz val="11"/>
        <color theme="1"/>
        <rFont val="FreeSans"/>
        <family val="2"/>
      </rPr>
      <t xml:space="preserve">رموز البنوك</t>
    </r>
    <r>
      <rPr>
        <sz val="11"/>
        <color theme="1"/>
        <rFont val="Calibri"/>
        <family val="2"/>
        <charset val="1"/>
      </rPr>
      <t xml:space="preserve">».</t>
    </r>
  </si>
  <si>
    <t xml:space="preserve">رقم الحساب</t>
  </si>
  <si>
    <t xml:space="preserve">7–24</t>
  </si>
  <si>
    <t xml:space="preserve">000000608010167519</t>
  </si>
  <si>
    <r>
      <rPr>
        <sz val="11"/>
        <color theme="1"/>
        <rFont val="FreeSans"/>
        <family val="2"/>
      </rPr>
      <t xml:space="preserve">رقم الحساب لدى البنك، يُكمَّل بأصفار على اليسار حتى </t>
    </r>
    <r>
      <rPr>
        <sz val="11"/>
        <color theme="1"/>
        <rFont val="Calibri"/>
        <family val="2"/>
        <charset val="1"/>
      </rPr>
      <t xml:space="preserve">18 </t>
    </r>
    <r>
      <rPr>
        <sz val="11"/>
        <color theme="1"/>
        <rFont val="FreeSans"/>
        <family val="2"/>
      </rPr>
      <t xml:space="preserve">خانة </t>
    </r>
    <r>
      <rPr>
        <sz val="11"/>
        <color theme="1"/>
        <rFont val="Calibri"/>
        <family val="2"/>
        <charset val="1"/>
      </rPr>
      <t xml:space="preserve">(</t>
    </r>
    <r>
      <rPr>
        <sz val="11"/>
        <color theme="1"/>
        <rFont val="FreeSans"/>
        <family val="2"/>
      </rPr>
      <t xml:space="preserve">يسمح المعيار بحروف وأرقام</t>
    </r>
    <r>
      <rPr>
        <sz val="11"/>
        <color theme="1"/>
        <rFont val="Calibri"/>
        <family val="2"/>
        <charset val="1"/>
      </rPr>
      <t xml:space="preserve">).</t>
    </r>
  </si>
  <si>
    <t xml:space="preserve">الآيبان كاملاً</t>
  </si>
  <si>
    <t xml:space="preserve">1–24</t>
  </si>
  <si>
    <t xml:space="preserve">SA03 8000 0000 6080 1016 7519</t>
  </si>
  <si>
    <r>
      <rPr>
        <sz val="11"/>
        <color theme="1"/>
        <rFont val="FreeSans"/>
        <family val="2"/>
      </rPr>
      <t xml:space="preserve">يُكتب إلكترونياً بلا مسافات، ويُطبع في مجموعات من </t>
    </r>
    <r>
      <rPr>
        <sz val="11"/>
        <color theme="1"/>
        <rFont val="Calibri"/>
        <family val="2"/>
        <charset val="1"/>
      </rPr>
      <t xml:space="preserve">4 </t>
    </r>
    <r>
      <rPr>
        <sz val="11"/>
        <color theme="1"/>
        <rFont val="FreeSans"/>
        <family val="2"/>
      </rPr>
      <t xml:space="preserve">خانات</t>
    </r>
    <r>
      <rPr>
        <sz val="11"/>
        <color theme="1"/>
        <rFont val="Calibri"/>
        <family val="2"/>
        <charset val="1"/>
      </rPr>
      <t xml:space="preserve">.</t>
    </r>
  </si>
  <si>
    <t xml:space="preserve">تصحيح للأمثلة الواردة في الطلب: الرمز 20 هو بنك الرياض (وليس الراجحي)، و55 هو البنك السعودي الفرنسي (وليس الأهلي). الراجحي = 80، الأهلي = 10.</t>
  </si>
  <si>
    <t xml:space="preserve">رموز البنوك العاملة في المملكة العربية السعودية في رقم الآيبان</t>
  </si>
  <si>
    <t xml:space="preserve">حقل التدقيق ليس صفة للبنك بل للحساب: العمود J مدخل (رقم حساب من 18 خانة)، والعمودان K و L يحسبان حقل التدقيق والآيبان آلياً. القيمة الافتراضية في J هي حساب المثال في سجل SWIFT، مكررة لكل بنك لإظهار تغيّر خانتي التدقيق بتغيّر رمز البنك.</t>
  </si>
  <si>
    <t xml:space="preserve">#</t>
  </si>
  <si>
    <t xml:space="preserve">اسم البنك</t>
  </si>
  <si>
    <t xml:space="preserve">Bank name</t>
  </si>
  <si>
    <t xml:space="preserve">رمز SWIFT / BIC</t>
  </si>
  <si>
    <t xml:space="preserve">توثيق SWIFT</t>
  </si>
  <si>
    <t xml:space="preserve">الحالة</t>
  </si>
  <si>
    <t xml:space="preserve">ملاحظة</t>
  </si>
  <si>
    <t xml:space="preserve">الآيبان يبدأ بـ</t>
  </si>
  <si>
    <t xml:space="preserve">رقم الحساب (18 خانة) — مدخل</t>
  </si>
  <si>
    <t xml:space="preserve">حقل التدقيق (محسوب)</t>
  </si>
  <si>
    <t xml:space="preserve">الآيبان الكامل (محسوب)</t>
  </si>
  <si>
    <t xml:space="preserve">التحقق MOD-97</t>
  </si>
  <si>
    <t xml:space="preserve">سلسلة الحساب (مساعد)</t>
  </si>
  <si>
    <t xml:space="preserve">05</t>
  </si>
  <si>
    <t xml:space="preserve">مصرف الإنماء</t>
  </si>
  <si>
    <t xml:space="preserve">Alinma Bank</t>
  </si>
  <si>
    <t xml:space="preserve">INMASARI</t>
  </si>
  <si>
    <t xml:space="preserve">مؤكد</t>
  </si>
  <si>
    <t xml:space="preserve">نشط</t>
  </si>
  <si>
    <t xml:space="preserve">10</t>
  </si>
  <si>
    <t xml:space="preserve">البنك الأهلي السعودي</t>
  </si>
  <si>
    <t xml:space="preserve">Saudi National Bank (SNB)</t>
  </si>
  <si>
    <t xml:space="preserve">NCBKSAJE</t>
  </si>
  <si>
    <r>
      <rPr>
        <sz val="11"/>
        <color theme="1"/>
        <rFont val="FreeSans"/>
        <family val="2"/>
      </rPr>
      <t xml:space="preserve">يشمل حسابات سامبا المنقولة بعد الاندماج </t>
    </r>
    <r>
      <rPr>
        <sz val="11"/>
        <color theme="1"/>
        <rFont val="Calibri"/>
        <family val="2"/>
        <charset val="1"/>
      </rPr>
      <t xml:space="preserve">2021</t>
    </r>
  </si>
  <si>
    <t xml:space="preserve">15</t>
  </si>
  <si>
    <t xml:space="preserve">بنك البلاد</t>
  </si>
  <si>
    <t xml:space="preserve">Bank Albilad</t>
  </si>
  <si>
    <t xml:space="preserve">ALBISARI</t>
  </si>
  <si>
    <t xml:space="preserve">20</t>
  </si>
  <si>
    <t xml:space="preserve">بنك الرياض</t>
  </si>
  <si>
    <t xml:space="preserve">Riyad Bank</t>
  </si>
  <si>
    <t xml:space="preserve">RIBLSARI</t>
  </si>
  <si>
    <t xml:space="preserve">30</t>
  </si>
  <si>
    <t xml:space="preserve">البنك العربي الوطني</t>
  </si>
  <si>
    <t xml:space="preserve">Arab National Bank</t>
  </si>
  <si>
    <t xml:space="preserve">ARNBSARI</t>
  </si>
  <si>
    <t xml:space="preserve">36</t>
  </si>
  <si>
    <r>
      <rPr>
        <sz val="11"/>
        <color theme="1"/>
        <rFont val="FreeSans"/>
        <family val="2"/>
      </rPr>
      <t xml:space="preserve">بنك دال ثلاثمائة وستون </t>
    </r>
    <r>
      <rPr>
        <sz val="11"/>
        <color theme="1"/>
        <rFont val="Calibri"/>
        <family val="2"/>
        <charset val="1"/>
      </rPr>
      <t xml:space="preserve">(D360)</t>
    </r>
  </si>
  <si>
    <t xml:space="preserve">D360 Bank</t>
  </si>
  <si>
    <t xml:space="preserve">DBAKSARI</t>
  </si>
  <si>
    <t xml:space="preserve">بنك رقمي</t>
  </si>
  <si>
    <r>
      <rPr>
        <sz val="11"/>
        <color theme="1"/>
        <rFont val="FreeSans"/>
        <family val="2"/>
      </rPr>
      <t xml:space="preserve">مؤكد بآيبان فعلي لحساب في البنك قدّمه المستخدم </t>
    </r>
    <r>
      <rPr>
        <sz val="11"/>
        <color theme="1"/>
        <rFont val="Calibri"/>
        <family val="2"/>
        <charset val="1"/>
      </rPr>
      <t xml:space="preserve">(SA83 3603 …) </t>
    </r>
    <r>
      <rPr>
        <sz val="11"/>
        <color theme="1"/>
        <rFont val="FreeSans"/>
        <family val="2"/>
      </rPr>
      <t xml:space="preserve">يجتاز </t>
    </r>
    <r>
      <rPr>
        <sz val="11"/>
        <color theme="1"/>
        <rFont val="Calibri"/>
        <family val="2"/>
        <charset val="1"/>
      </rPr>
      <t xml:space="preserve">MOD-97</t>
    </r>
    <r>
      <rPr>
        <sz val="11"/>
        <color theme="1"/>
        <rFont val="FreeSans"/>
        <family val="2"/>
      </rPr>
      <t xml:space="preserve">، ويتفق مع الملف الاسترشادي</t>
    </r>
  </si>
  <si>
    <t xml:space="preserve">40</t>
  </si>
  <si>
    <t xml:space="preserve">مجموعة سامبا المالية</t>
  </si>
  <si>
    <t xml:space="preserve">Samba Financial Group</t>
  </si>
  <si>
    <t xml:space="preserve">SAMBSARI</t>
  </si>
  <si>
    <t xml:space="preserve">غير مؤكد (بنك مدمج)</t>
  </si>
  <si>
    <t xml:space="preserve">مدمج (تاريخي)</t>
  </si>
  <si>
    <t xml:space="preserve">اندمج في البنك الأهلي السعودي 2021؛ قد تبقى آيبانات قديمة متداولة</t>
  </si>
  <si>
    <t xml:space="preserve">45</t>
  </si>
  <si>
    <r>
      <rPr>
        <sz val="11"/>
        <color theme="1"/>
        <rFont val="FreeSans"/>
        <family val="2"/>
      </rPr>
      <t xml:space="preserve">البنك السعودي الأول </t>
    </r>
    <r>
      <rPr>
        <sz val="11"/>
        <color theme="1"/>
        <rFont val="Calibri"/>
        <family val="2"/>
        <charset val="1"/>
      </rPr>
      <t xml:space="preserve">(</t>
    </r>
    <r>
      <rPr>
        <sz val="11"/>
        <color theme="1"/>
        <rFont val="FreeSans"/>
        <family val="2"/>
      </rPr>
      <t xml:space="preserve">ساب</t>
    </r>
    <r>
      <rPr>
        <sz val="11"/>
        <color theme="1"/>
        <rFont val="Calibri"/>
        <family val="2"/>
        <charset val="1"/>
      </rPr>
      <t xml:space="preserve">)</t>
    </r>
  </si>
  <si>
    <t xml:space="preserve">Saudi Awwal Bank (SAB, formerly SABB)</t>
  </si>
  <si>
    <t xml:space="preserve">SABBSARI</t>
  </si>
  <si>
    <t xml:space="preserve">50</t>
  </si>
  <si>
    <t xml:space="preserve">البنك الأول</t>
  </si>
  <si>
    <t xml:space="preserve">Alawwal Bank</t>
  </si>
  <si>
    <t xml:space="preserve">AAALSARI</t>
  </si>
  <si>
    <t xml:space="preserve">مصدر واحد (بنك مدمج)</t>
  </si>
  <si>
    <t xml:space="preserve">اندمج في ساب 2019؛ قد تبقى آيبانات قديمة متداولة</t>
  </si>
  <si>
    <t xml:space="preserve">55</t>
  </si>
  <si>
    <t xml:space="preserve">البنك السعودي الفرنسي</t>
  </si>
  <si>
    <t xml:space="preserve">Banque Saudi Fransi</t>
  </si>
  <si>
    <t xml:space="preserve">BSFRSARI</t>
  </si>
  <si>
    <t xml:space="preserve">60</t>
  </si>
  <si>
    <t xml:space="preserve">بنك الجزيرة</t>
  </si>
  <si>
    <t xml:space="preserve">Bank AlJazira</t>
  </si>
  <si>
    <t xml:space="preserve">BJAZSAJE</t>
  </si>
  <si>
    <t xml:space="preserve">65</t>
  </si>
  <si>
    <t xml:space="preserve">البنك السعودي للاستثمار</t>
  </si>
  <si>
    <t xml:space="preserve">The Saudi Investment Bank</t>
  </si>
  <si>
    <t xml:space="preserve">SIBCSARI</t>
  </si>
  <si>
    <t xml:space="preserve">71</t>
  </si>
  <si>
    <r>
      <rPr>
        <sz val="11"/>
        <color theme="1"/>
        <rFont val="FreeSans"/>
        <family val="2"/>
      </rPr>
      <t xml:space="preserve">بنك البحرين الوطني </t>
    </r>
    <r>
      <rPr>
        <sz val="11"/>
        <color theme="1"/>
        <rFont val="Calibri"/>
        <family val="2"/>
        <charset val="1"/>
      </rPr>
      <t xml:space="preserve">(</t>
    </r>
    <r>
      <rPr>
        <sz val="11"/>
        <color theme="1"/>
        <rFont val="FreeSans"/>
        <family val="2"/>
      </rPr>
      <t xml:space="preserve">فرع السعودية</t>
    </r>
    <r>
      <rPr>
        <sz val="11"/>
        <color theme="1"/>
        <rFont val="Calibri"/>
        <family val="2"/>
        <charset val="1"/>
      </rPr>
      <t xml:space="preserve">)</t>
    </r>
  </si>
  <si>
    <t xml:space="preserve">National Bank of Bahrain</t>
  </si>
  <si>
    <t xml:space="preserve">NBOBSARI</t>
  </si>
  <si>
    <t xml:space="preserve">مصدر واحد</t>
  </si>
  <si>
    <t xml:space="preserve">فرع بنك أجنبي</t>
  </si>
  <si>
    <t xml:space="preserve">73</t>
  </si>
  <si>
    <r>
      <rPr>
        <sz val="11"/>
        <color theme="1"/>
        <rFont val="FreeSans"/>
        <family val="2"/>
      </rPr>
      <t xml:space="preserve">بنك أبوظبي الأول </t>
    </r>
    <r>
      <rPr>
        <sz val="11"/>
        <color theme="1"/>
        <rFont val="Calibri"/>
        <family val="2"/>
        <charset val="1"/>
      </rPr>
      <t xml:space="preserve">(</t>
    </r>
    <r>
      <rPr>
        <sz val="11"/>
        <color theme="1"/>
        <rFont val="FreeSans"/>
        <family val="2"/>
      </rPr>
      <t xml:space="preserve">فرع السعودية</t>
    </r>
    <r>
      <rPr>
        <sz val="11"/>
        <color theme="1"/>
        <rFont val="Calibri"/>
        <family val="2"/>
        <charset val="1"/>
      </rPr>
      <t xml:space="preserve">)</t>
    </r>
  </si>
  <si>
    <t xml:space="preserve">First Abu Dhabi Bank (FAB)</t>
  </si>
  <si>
    <t xml:space="preserve">FABMSARI</t>
  </si>
  <si>
    <r>
      <rPr>
        <sz val="11"/>
        <color theme="1"/>
        <rFont val="FreeSans"/>
        <family val="2"/>
      </rPr>
      <t xml:space="preserve">مصدر واحد </t>
    </r>
    <r>
      <rPr>
        <sz val="11"/>
        <color theme="1"/>
        <rFont val="Calibri"/>
        <family val="2"/>
        <charset val="1"/>
      </rPr>
      <t xml:space="preserve">+ </t>
    </r>
    <r>
      <rPr>
        <sz val="11"/>
        <color theme="1"/>
        <rFont val="FreeSans"/>
        <family val="2"/>
      </rPr>
      <t xml:space="preserve">الملف الاسترشادي</t>
    </r>
  </si>
  <si>
    <r>
      <rPr>
        <sz val="11"/>
        <color theme="1"/>
        <rFont val="FreeSans"/>
        <family val="2"/>
      </rPr>
      <t xml:space="preserve">مؤكد بآيبان فعلي لحساب في البنك قدّمه المستخدم </t>
    </r>
    <r>
      <rPr>
        <sz val="11"/>
        <color theme="1"/>
        <rFont val="Calibri"/>
        <family val="2"/>
        <charset val="1"/>
      </rPr>
      <t xml:space="preserve">(SA63 7300 …) </t>
    </r>
    <r>
      <rPr>
        <sz val="11"/>
        <color theme="1"/>
        <rFont val="FreeSans"/>
        <family val="2"/>
      </rPr>
      <t xml:space="preserve">يجتاز </t>
    </r>
    <r>
      <rPr>
        <sz val="11"/>
        <color theme="1"/>
        <rFont val="Calibri"/>
        <family val="2"/>
        <charset val="1"/>
      </rPr>
      <t xml:space="preserve">MOD-97</t>
    </r>
    <r>
      <rPr>
        <sz val="11"/>
        <color theme="1"/>
        <rFont val="FreeSans"/>
        <family val="2"/>
      </rPr>
      <t xml:space="preserve">، ويتفق مع الملف الاسترشادي</t>
    </r>
  </si>
  <si>
    <t xml:space="preserve">75</t>
  </si>
  <si>
    <r>
      <rPr>
        <sz val="11"/>
        <color theme="1"/>
        <rFont val="FreeSans"/>
        <family val="2"/>
      </rPr>
      <t xml:space="preserve">بنك الكويت الوطني </t>
    </r>
    <r>
      <rPr>
        <sz val="11"/>
        <color theme="1"/>
        <rFont val="Calibri"/>
        <family val="2"/>
        <charset val="1"/>
      </rPr>
      <t xml:space="preserve">(</t>
    </r>
    <r>
      <rPr>
        <sz val="11"/>
        <color theme="1"/>
        <rFont val="FreeSans"/>
        <family val="2"/>
      </rPr>
      <t xml:space="preserve">فرع السعودية</t>
    </r>
    <r>
      <rPr>
        <sz val="11"/>
        <color theme="1"/>
        <rFont val="Calibri"/>
        <family val="2"/>
        <charset val="1"/>
      </rPr>
      <t xml:space="preserve">)</t>
    </r>
  </si>
  <si>
    <t xml:space="preserve">National Bank of Kuwait</t>
  </si>
  <si>
    <t xml:space="preserve">NBOKSAJE</t>
  </si>
  <si>
    <t xml:space="preserve">76</t>
  </si>
  <si>
    <r>
      <rPr>
        <sz val="11"/>
        <color theme="1"/>
        <rFont val="FreeSans"/>
        <family val="2"/>
      </rPr>
      <t xml:space="preserve">بنك مسقط </t>
    </r>
    <r>
      <rPr>
        <sz val="11"/>
        <color theme="1"/>
        <rFont val="Calibri"/>
        <family val="2"/>
        <charset val="1"/>
      </rPr>
      <t xml:space="preserve">(</t>
    </r>
    <r>
      <rPr>
        <sz val="11"/>
        <color theme="1"/>
        <rFont val="FreeSans"/>
        <family val="2"/>
      </rPr>
      <t xml:space="preserve">فرع السعودية</t>
    </r>
    <r>
      <rPr>
        <sz val="11"/>
        <color theme="1"/>
        <rFont val="Calibri"/>
        <family val="2"/>
        <charset val="1"/>
      </rPr>
      <t xml:space="preserve">)</t>
    </r>
  </si>
  <si>
    <t xml:space="preserve">Bank Muscat</t>
  </si>
  <si>
    <t xml:space="preserve">BMUSSARI</t>
  </si>
  <si>
    <t xml:space="preserve">78</t>
  </si>
  <si>
    <r>
      <rPr>
        <sz val="11"/>
        <color theme="1"/>
        <rFont val="FreeSans"/>
        <family val="2"/>
      </rPr>
      <t xml:space="preserve">بنك إس تي سي </t>
    </r>
    <r>
      <rPr>
        <sz val="11"/>
        <color theme="1"/>
        <rFont val="Calibri"/>
        <family val="2"/>
        <charset val="1"/>
      </rPr>
      <t xml:space="preserve">(STC Bank)</t>
    </r>
  </si>
  <si>
    <t xml:space="preserve">STC Bank</t>
  </si>
  <si>
    <t xml:space="preserve">STCJSARI</t>
  </si>
  <si>
    <r>
      <rPr>
        <sz val="11"/>
        <color theme="1"/>
        <rFont val="FreeSans"/>
        <family val="2"/>
      </rPr>
      <t xml:space="preserve">مصدر واحد</t>
    </r>
    <r>
      <rPr>
        <sz val="11"/>
        <color theme="1"/>
        <rFont val="Calibri"/>
        <family val="2"/>
        <charset val="1"/>
      </rPr>
      <t xml:space="preserve">: </t>
    </r>
    <r>
      <rPr>
        <sz val="11"/>
        <color theme="1"/>
        <rFont val="FreeSans"/>
        <family val="2"/>
      </rPr>
      <t xml:space="preserve">آيبان منشور </t>
    </r>
    <r>
      <rPr>
        <sz val="11"/>
        <color theme="1"/>
        <rFont val="Calibri"/>
        <family val="2"/>
        <charset val="1"/>
      </rPr>
      <t xml:space="preserve">SA47 7800 0000 0011 8115 9355 </t>
    </r>
    <r>
      <rPr>
        <sz val="11"/>
        <color theme="1"/>
        <rFont val="FreeSans"/>
        <family val="2"/>
      </rPr>
      <t xml:space="preserve">يجتاز </t>
    </r>
    <r>
      <rPr>
        <sz val="11"/>
        <color theme="1"/>
        <rFont val="Calibri"/>
        <family val="2"/>
        <charset val="1"/>
      </rPr>
      <t xml:space="preserve">MOD-97 — </t>
    </r>
    <r>
      <rPr>
        <sz val="11"/>
        <color theme="1"/>
        <rFont val="FreeSans"/>
        <family val="2"/>
      </rPr>
      <t xml:space="preserve">يُستحسن التأكد من ساما</t>
    </r>
  </si>
  <si>
    <t xml:space="preserve">مصرف الراجحي</t>
  </si>
  <si>
    <t xml:space="preserve">Al Rajhi Bank</t>
  </si>
  <si>
    <t xml:space="preserve">RJHISARI</t>
  </si>
  <si>
    <t xml:space="preserve">81</t>
  </si>
  <si>
    <r>
      <rPr>
        <sz val="11"/>
        <color theme="1"/>
        <rFont val="FreeSans"/>
        <family val="2"/>
      </rPr>
      <t xml:space="preserve">دويتشه بنك </t>
    </r>
    <r>
      <rPr>
        <sz val="11"/>
        <color theme="1"/>
        <rFont val="Calibri"/>
        <family val="2"/>
        <charset val="1"/>
      </rPr>
      <t xml:space="preserve">(</t>
    </r>
    <r>
      <rPr>
        <sz val="11"/>
        <color theme="1"/>
        <rFont val="FreeSans"/>
        <family val="2"/>
      </rPr>
      <t xml:space="preserve">فرع السعودية</t>
    </r>
    <r>
      <rPr>
        <sz val="11"/>
        <color theme="1"/>
        <rFont val="Calibri"/>
        <family val="2"/>
        <charset val="1"/>
      </rPr>
      <t xml:space="preserve">)</t>
    </r>
  </si>
  <si>
    <t xml:space="preserve">Deutsche Bank</t>
  </si>
  <si>
    <t xml:space="preserve">DEUTSARI</t>
  </si>
  <si>
    <t xml:space="preserve">82</t>
  </si>
  <si>
    <r>
      <rPr>
        <sz val="11"/>
        <color theme="1"/>
        <rFont val="FreeSans"/>
        <family val="2"/>
      </rPr>
      <t xml:space="preserve">البنك الوطني الباكستاني </t>
    </r>
    <r>
      <rPr>
        <sz val="11"/>
        <color theme="1"/>
        <rFont val="Calibri"/>
        <family val="2"/>
        <charset val="1"/>
      </rPr>
      <t xml:space="preserve">(</t>
    </r>
    <r>
      <rPr>
        <sz val="11"/>
        <color theme="1"/>
        <rFont val="FreeSans"/>
        <family val="2"/>
      </rPr>
      <t xml:space="preserve">فرع السعودية</t>
    </r>
    <r>
      <rPr>
        <sz val="11"/>
        <color theme="1"/>
        <rFont val="Calibri"/>
        <family val="2"/>
        <charset val="1"/>
      </rPr>
      <t xml:space="preserve">)</t>
    </r>
  </si>
  <si>
    <t xml:space="preserve">National Bank of Pakistan</t>
  </si>
  <si>
    <t xml:space="preserve">NBPASARI</t>
  </si>
  <si>
    <r>
      <rPr>
        <sz val="11"/>
        <color theme="1"/>
        <rFont val="FreeSans"/>
        <family val="2"/>
      </rPr>
      <t xml:space="preserve">مؤكد </t>
    </r>
    <r>
      <rPr>
        <sz val="11"/>
        <color theme="1"/>
        <rFont val="Calibri"/>
        <family val="2"/>
        <charset val="1"/>
      </rPr>
      <t xml:space="preserve">(</t>
    </r>
    <r>
      <rPr>
        <sz val="11"/>
        <color theme="1"/>
        <rFont val="FreeSans"/>
        <family val="2"/>
      </rPr>
      <t xml:space="preserve">ورد </t>
    </r>
    <r>
      <rPr>
        <sz val="11"/>
        <color theme="1"/>
        <rFont val="Calibri"/>
        <family val="2"/>
        <charset val="1"/>
      </rPr>
      <t xml:space="preserve">NBOPSARI </t>
    </r>
    <r>
      <rPr>
        <sz val="11"/>
        <color theme="1"/>
        <rFont val="FreeSans"/>
        <family val="2"/>
      </rPr>
      <t xml:space="preserve">في جدول واحد</t>
    </r>
    <r>
      <rPr>
        <sz val="11"/>
        <color theme="1"/>
        <rFont val="Calibri"/>
        <family val="2"/>
        <charset val="1"/>
      </rPr>
      <t xml:space="preserve">)</t>
    </r>
  </si>
  <si>
    <t xml:space="preserve">83</t>
  </si>
  <si>
    <r>
      <rPr>
        <sz val="11"/>
        <color theme="1"/>
        <rFont val="FreeSans"/>
        <family val="2"/>
      </rPr>
      <t xml:space="preserve">بنك الدولة الهندي </t>
    </r>
    <r>
      <rPr>
        <sz val="11"/>
        <color theme="1"/>
        <rFont val="Calibri"/>
        <family val="2"/>
        <charset val="1"/>
      </rPr>
      <t xml:space="preserve">(</t>
    </r>
    <r>
      <rPr>
        <sz val="11"/>
        <color theme="1"/>
        <rFont val="FreeSans"/>
        <family val="2"/>
      </rPr>
      <t xml:space="preserve">فرع السعودية</t>
    </r>
    <r>
      <rPr>
        <sz val="11"/>
        <color theme="1"/>
        <rFont val="Calibri"/>
        <family val="2"/>
        <charset val="1"/>
      </rPr>
      <t xml:space="preserve">)</t>
    </r>
  </si>
  <si>
    <t xml:space="preserve">State Bank of India</t>
  </si>
  <si>
    <t xml:space="preserve">SBINSAJE</t>
  </si>
  <si>
    <t xml:space="preserve">مصدر واحد فقط — يُستحسن التأكد من ساما</t>
  </si>
  <si>
    <t xml:space="preserve">84</t>
  </si>
  <si>
    <r>
      <rPr>
        <sz val="11"/>
        <color theme="1"/>
        <rFont val="FreeSans"/>
        <family val="2"/>
      </rPr>
      <t xml:space="preserve">بنك زراعات التركي </t>
    </r>
    <r>
      <rPr>
        <sz val="11"/>
        <color theme="1"/>
        <rFont val="Calibri"/>
        <family val="2"/>
        <charset val="1"/>
      </rPr>
      <t xml:space="preserve">(</t>
    </r>
    <r>
      <rPr>
        <sz val="11"/>
        <color theme="1"/>
        <rFont val="FreeSans"/>
        <family val="2"/>
      </rPr>
      <t xml:space="preserve">فرع السعودية</t>
    </r>
    <r>
      <rPr>
        <sz val="11"/>
        <color theme="1"/>
        <rFont val="Calibri"/>
        <family val="2"/>
        <charset val="1"/>
      </rPr>
      <t xml:space="preserve">)</t>
    </r>
  </si>
  <si>
    <t xml:space="preserve">T.C. Ziraat Bankası</t>
  </si>
  <si>
    <t xml:space="preserve">TCZBSAJE</t>
  </si>
  <si>
    <t xml:space="preserve">85</t>
  </si>
  <si>
    <r>
      <rPr>
        <sz val="11"/>
        <color theme="1"/>
        <rFont val="FreeSans"/>
        <family val="2"/>
      </rPr>
      <t xml:space="preserve">بي إن بي باريبا </t>
    </r>
    <r>
      <rPr>
        <sz val="11"/>
        <color theme="1"/>
        <rFont val="Calibri"/>
        <family val="2"/>
        <charset val="1"/>
      </rPr>
      <t xml:space="preserve">(</t>
    </r>
    <r>
      <rPr>
        <sz val="11"/>
        <color theme="1"/>
        <rFont val="FreeSans"/>
        <family val="2"/>
      </rPr>
      <t xml:space="preserve">فرع السعودية</t>
    </r>
    <r>
      <rPr>
        <sz val="11"/>
        <color theme="1"/>
        <rFont val="Calibri"/>
        <family val="2"/>
        <charset val="1"/>
      </rPr>
      <t xml:space="preserve">)</t>
    </r>
  </si>
  <si>
    <t xml:space="preserve">BNP Paribas</t>
  </si>
  <si>
    <t xml:space="preserve">BNPASARI</t>
  </si>
  <si>
    <r>
      <rPr>
        <sz val="11"/>
        <color theme="1"/>
        <rFont val="FreeSans"/>
        <family val="2"/>
      </rPr>
      <t xml:space="preserve">غير مؤكد </t>
    </r>
    <r>
      <rPr>
        <sz val="11"/>
        <color theme="1"/>
        <rFont val="Calibri"/>
        <family val="2"/>
        <charset val="1"/>
      </rPr>
      <t xml:space="preserve">(</t>
    </r>
    <r>
      <rPr>
        <sz val="11"/>
        <color theme="1"/>
        <rFont val="FreeSans"/>
        <family val="2"/>
      </rPr>
      <t xml:space="preserve">الملف الاسترشادي فقط</t>
    </r>
    <r>
      <rPr>
        <sz val="11"/>
        <color theme="1"/>
        <rFont val="Calibri"/>
        <family val="2"/>
        <charset val="1"/>
      </rPr>
      <t xml:space="preserve">)</t>
    </r>
  </si>
  <si>
    <t xml:space="preserve">86</t>
  </si>
  <si>
    <r>
      <rPr>
        <sz val="11"/>
        <color theme="1"/>
        <rFont val="FreeSans"/>
        <family val="2"/>
      </rPr>
      <t xml:space="preserve">جي بي مورغان تشيس </t>
    </r>
    <r>
      <rPr>
        <sz val="11"/>
        <color theme="1"/>
        <rFont val="Calibri"/>
        <family val="2"/>
        <charset val="1"/>
      </rPr>
      <t xml:space="preserve">(</t>
    </r>
    <r>
      <rPr>
        <sz val="11"/>
        <color theme="1"/>
        <rFont val="FreeSans"/>
        <family val="2"/>
      </rPr>
      <t xml:space="preserve">فرع السعودية</t>
    </r>
    <r>
      <rPr>
        <sz val="11"/>
        <color theme="1"/>
        <rFont val="Calibri"/>
        <family val="2"/>
        <charset val="1"/>
      </rPr>
      <t xml:space="preserve">)</t>
    </r>
  </si>
  <si>
    <t xml:space="preserve">JPMorgan Chase Bank</t>
  </si>
  <si>
    <t xml:space="preserve">CHASSARI</t>
  </si>
  <si>
    <r>
      <rPr>
        <sz val="11"/>
        <color theme="1"/>
        <rFont val="FreeSans"/>
        <family val="2"/>
      </rPr>
      <t xml:space="preserve">غير مؤكد </t>
    </r>
    <r>
      <rPr>
        <sz val="11"/>
        <color theme="1"/>
        <rFont val="Calibri"/>
        <family val="2"/>
        <charset val="1"/>
      </rPr>
      <t xml:space="preserve">(</t>
    </r>
    <r>
      <rPr>
        <sz val="11"/>
        <color theme="1"/>
        <rFont val="FreeSans"/>
        <family val="2"/>
      </rPr>
      <t xml:space="preserve">ورد </t>
    </r>
    <r>
      <rPr>
        <sz val="11"/>
        <color theme="1"/>
        <rFont val="Calibri"/>
        <family val="2"/>
        <charset val="1"/>
      </rPr>
      <t xml:space="preserve">CHASSARISAU </t>
    </r>
    <r>
      <rPr>
        <sz val="11"/>
        <color theme="1"/>
        <rFont val="FreeSans"/>
        <family val="2"/>
      </rPr>
      <t xml:space="preserve">لشركة </t>
    </r>
    <r>
      <rPr>
        <sz val="11"/>
        <color theme="1"/>
        <rFont val="Calibri"/>
        <family val="2"/>
        <charset val="1"/>
      </rPr>
      <t xml:space="preserve">JPMorgan </t>
    </r>
    <r>
      <rPr>
        <sz val="11"/>
        <color theme="1"/>
        <rFont val="FreeSans"/>
        <family val="2"/>
      </rPr>
      <t xml:space="preserve">السعودية</t>
    </r>
    <r>
      <rPr>
        <sz val="11"/>
        <color theme="1"/>
        <rFont val="Calibri"/>
        <family val="2"/>
        <charset val="1"/>
      </rPr>
      <t xml:space="preserve">)</t>
    </r>
  </si>
  <si>
    <t xml:space="preserve">90</t>
  </si>
  <si>
    <t xml:space="preserve">بنك الخليج الدولي</t>
  </si>
  <si>
    <t xml:space="preserve">Gulf International Bank (GIB)</t>
  </si>
  <si>
    <t xml:space="preserve">GULFSARI</t>
  </si>
  <si>
    <t xml:space="preserve">95</t>
  </si>
  <si>
    <r>
      <rPr>
        <sz val="11"/>
        <color theme="1"/>
        <rFont val="FreeSans"/>
        <family val="2"/>
      </rPr>
      <t xml:space="preserve">بنك الإمارات دبي الوطني </t>
    </r>
    <r>
      <rPr>
        <sz val="11"/>
        <color theme="1"/>
        <rFont val="Calibri"/>
        <family val="2"/>
        <charset val="1"/>
      </rPr>
      <t xml:space="preserve">(</t>
    </r>
    <r>
      <rPr>
        <sz val="11"/>
        <color theme="1"/>
        <rFont val="FreeSans"/>
        <family val="2"/>
      </rPr>
      <t xml:space="preserve">فرع السعودية</t>
    </r>
    <r>
      <rPr>
        <sz val="11"/>
        <color theme="1"/>
        <rFont val="Calibri"/>
        <family val="2"/>
        <charset val="1"/>
      </rPr>
      <t xml:space="preserve">)</t>
    </r>
  </si>
  <si>
    <t xml:space="preserve">Emirates NBD</t>
  </si>
  <si>
    <t xml:space="preserve">EBILSARI</t>
  </si>
  <si>
    <t xml:space="preserve">المصادر: معرّفات البنوك التي تصدرها ساما كما ينشرها github.com/EngMEita/saudi-banks، مع مراجعة cubbbix.com و validatefin.com (أكتوبر 2026). الرمزان 78 (STC Bank) و83 وردا في مصدر واحد. الرمزان 36 (D360) و73 (بنك أبوظبي الأول) مؤكدان بآيبانات فعلية قدّمها المستخدم. Vision Bank لم يُدرج لأن رمزه لم يُتحقق منه؛ يُعرف من الخانتين 5–6 في أي آيبان صادر منه ويُضاف في صف جديد. رموز SWIFT: ثماني خانات للمركز الرئيسي (تُضاف XXX لصيغة 11 خانة)، من أدلة SWIFT العامة (Wise، XE، theswiftcodes، ksaexpats، alaan) — «مؤكد» = أكثر من مصدر، «مصدر واحد» و«غير مؤكد» يُتحقق منهما مع البنك قبل التحويل.</t>
  </si>
  <si>
    <t xml:space="preserve">مفتاح الألوان: الخلايا الصفراء بخط أزرق مدخلات يمكن تعديلها؛ الباقي معادلات.</t>
  </si>
  <si>
    <t xml:space="preserve">التحقق من صحة الآيبان السعودي — خوارزمية ISO 7064 MOD 97-10</t>
  </si>
  <si>
    <t xml:space="preserve">اكتب أو الصق الآيبان في العمود A (بمسافات أو بدونها). النتيجة والسبب وحقل التدقيق الصحيح تظهر آلياً. الأعمدة من L فما بعد محرك الحساب.</t>
  </si>
  <si>
    <t xml:space="preserve">الآيبان (مدخل)</t>
  </si>
  <si>
    <t xml:space="preserve">بعد التنظيف</t>
  </si>
  <si>
    <t xml:space="preserve">الطول</t>
  </si>
  <si>
    <t xml:space="preserve">الدولة</t>
  </si>
  <si>
    <t xml:space="preserve">حقل التدقيق المُدخل</t>
  </si>
  <si>
    <t xml:space="preserve">باقي القسمة على 97</t>
  </si>
  <si>
    <t xml:space="preserve">حقل التدقيق الصحيح لهذا الحساب</t>
  </si>
  <si>
    <t xml:space="preserve">النتيجة</t>
  </si>
  <si>
    <t xml:space="preserve">السبب</t>
  </si>
  <si>
    <t xml:space="preserve">المُعاد ترتيبه</t>
  </si>
  <si>
    <t xml:space="preserve">صالح الرموز</t>
  </si>
  <si>
    <t xml:space="preserve">ح1</t>
  </si>
  <si>
    <t xml:space="preserve">ح2</t>
  </si>
  <si>
    <t xml:space="preserve">ح3</t>
  </si>
  <si>
    <t xml:space="preserve">ح4</t>
  </si>
  <si>
    <t xml:space="preserve">ح5</t>
  </si>
  <si>
    <t xml:space="preserve">ح6</t>
  </si>
  <si>
    <t xml:space="preserve">ح7</t>
  </si>
  <si>
    <t xml:space="preserve">ح8</t>
  </si>
  <si>
    <t xml:space="preserve">ح9</t>
  </si>
  <si>
    <t xml:space="preserve">ح10</t>
  </si>
  <si>
    <t xml:space="preserve">ح11</t>
  </si>
  <si>
    <t xml:space="preserve">ح12</t>
  </si>
  <si>
    <t xml:space="preserve">ح13</t>
  </si>
  <si>
    <t xml:space="preserve">ح14</t>
  </si>
  <si>
    <t xml:space="preserve">ح15</t>
  </si>
  <si>
    <t xml:space="preserve">ح16</t>
  </si>
  <si>
    <t xml:space="preserve">ح17</t>
  </si>
  <si>
    <t xml:space="preserve">ح18</t>
  </si>
  <si>
    <t xml:space="preserve">ح19</t>
  </si>
  <si>
    <t xml:space="preserve">ح20</t>
  </si>
  <si>
    <t xml:space="preserve">ح21</t>
  </si>
  <si>
    <t xml:space="preserve">ح22</t>
  </si>
  <si>
    <t xml:space="preserve">ح23</t>
  </si>
  <si>
    <t xml:space="preserve">ح24</t>
  </si>
  <si>
    <t xml:space="preserve">ح25</t>
  </si>
  <si>
    <t xml:space="preserve">ح26</t>
  </si>
  <si>
    <t xml:space="preserve">ح27</t>
  </si>
  <si>
    <t xml:space="preserve">ح28</t>
  </si>
  <si>
    <t xml:space="preserve">ح29</t>
  </si>
  <si>
    <t xml:space="preserve">ح30</t>
  </si>
  <si>
    <t xml:space="preserve">ح31</t>
  </si>
  <si>
    <t xml:space="preserve">ح32</t>
  </si>
  <si>
    <t xml:space="preserve">ح33</t>
  </si>
  <si>
    <t xml:space="preserve">ح34</t>
  </si>
  <si>
    <t xml:space="preserve">السلسلة الرقمية</t>
  </si>
  <si>
    <t xml:space="preserve">باقي 1</t>
  </si>
  <si>
    <t xml:space="preserve">باقي 2</t>
  </si>
  <si>
    <t xml:space="preserve">باقي 3</t>
  </si>
  <si>
    <t xml:space="preserve">باقي 4</t>
  </si>
  <si>
    <t xml:space="preserve">باقي 5</t>
  </si>
  <si>
    <t xml:space="preserve">باقي 6</t>
  </si>
  <si>
    <t xml:space="preserve">باقي 7</t>
  </si>
  <si>
    <t xml:space="preserve">باقي 8</t>
  </si>
  <si>
    <t xml:space="preserve">باقي 9</t>
  </si>
  <si>
    <t xml:space="preserve">باقي 10</t>
  </si>
  <si>
    <t xml:space="preserve">SA04 8000 0000 6080 1016 7519</t>
  </si>
  <si>
    <t xml:space="preserve">SA03 8000 0000 6080 1016 7591</t>
  </si>
  <si>
    <t xml:space="preserve">SA44 2000 0001 2345 6789 1234</t>
  </si>
  <si>
    <t xml:space="preserve">SA03 8000 0000 6080 1016 751</t>
  </si>
  <si>
    <t xml:space="preserve">SA33 9900 0000 6080 1016 7519</t>
  </si>
  <si>
    <t xml:space="preserve">AE07 0331 2345 6789 0123 456</t>
  </si>
  <si>
    <t xml:space="preserve">SA47 7800 0000 0011 8115 9355</t>
  </si>
  <si>
    <t xml:space="preserve">SA43 7300 0000 6080 1016 7519</t>
  </si>
  <si>
    <t xml:space="preserve">sa05 3600 0000 6080 1016 7519</t>
  </si>
  <si>
    <t xml:space="preserve">خوارزمية MOD-97 خطوة بخطوة (ISO 13616 / ISO 7064)</t>
  </si>
  <si>
    <t xml:space="preserve">غيّر الآيبان في الخلية C4 لترى كل خطوة تُحسب عليه. (مثال حي يعمل للآيبان السعودي المكوّن من أرقام)</t>
  </si>
  <si>
    <t xml:space="preserve">الخطوة</t>
  </si>
  <si>
    <t xml:space="preserve">الشرح</t>
  </si>
  <si>
    <t xml:space="preserve">0</t>
  </si>
  <si>
    <t xml:space="preserve">الآيبان كما أُدخل</t>
  </si>
  <si>
    <t xml:space="preserve">1</t>
  </si>
  <si>
    <r>
      <rPr>
        <sz val="11"/>
        <color theme="1"/>
        <rFont val="FreeSans"/>
        <family val="2"/>
      </rPr>
      <t xml:space="preserve">إزالة المسافات وتحويل الحروف إلى كبيرة، والتأكد أن الطول </t>
    </r>
    <r>
      <rPr>
        <sz val="11"/>
        <color theme="1"/>
        <rFont val="Calibri"/>
        <family val="2"/>
        <charset val="1"/>
      </rPr>
      <t xml:space="preserve">24 </t>
    </r>
    <r>
      <rPr>
        <sz val="11"/>
        <color theme="1"/>
        <rFont val="FreeSans"/>
        <family val="2"/>
      </rPr>
      <t xml:space="preserve">للسعودية</t>
    </r>
  </si>
  <si>
    <r>
      <rPr>
        <sz val="11"/>
        <color theme="1"/>
        <rFont val="Calibri"/>
        <family val="2"/>
        <charset val="1"/>
      </rPr>
      <t xml:space="preserve">1</t>
    </r>
    <r>
      <rPr>
        <sz val="11"/>
        <color theme="1"/>
        <rFont val="FreeSans"/>
        <family val="2"/>
      </rPr>
      <t xml:space="preserve">أ</t>
    </r>
  </si>
  <si>
    <t xml:space="preserve">2</t>
  </si>
  <si>
    <r>
      <rPr>
        <sz val="11"/>
        <color theme="1"/>
        <rFont val="FreeSans"/>
        <family val="2"/>
      </rPr>
      <t xml:space="preserve">نقل أول </t>
    </r>
    <r>
      <rPr>
        <sz val="11"/>
        <color theme="1"/>
        <rFont val="Calibri"/>
        <family val="2"/>
        <charset val="1"/>
      </rPr>
      <t xml:space="preserve">4 </t>
    </r>
    <r>
      <rPr>
        <sz val="11"/>
        <color theme="1"/>
        <rFont val="FreeSans"/>
        <family val="2"/>
      </rPr>
      <t xml:space="preserve">خانات </t>
    </r>
    <r>
      <rPr>
        <sz val="11"/>
        <color theme="1"/>
        <rFont val="Calibri"/>
        <family val="2"/>
        <charset val="1"/>
      </rPr>
      <t xml:space="preserve">(</t>
    </r>
    <r>
      <rPr>
        <sz val="11"/>
        <color theme="1"/>
        <rFont val="FreeSans"/>
        <family val="2"/>
      </rPr>
      <t xml:space="preserve">رمز الدولة </t>
    </r>
    <r>
      <rPr>
        <sz val="11"/>
        <color theme="1"/>
        <rFont val="Calibri"/>
        <family val="2"/>
        <charset val="1"/>
      </rPr>
      <t xml:space="preserve">+ </t>
    </r>
    <r>
      <rPr>
        <sz val="11"/>
        <color theme="1"/>
        <rFont val="FreeSans"/>
        <family val="2"/>
      </rPr>
      <t xml:space="preserve">حقل التدقيق</t>
    </r>
    <r>
      <rPr>
        <sz val="11"/>
        <color theme="1"/>
        <rFont val="Calibri"/>
        <family val="2"/>
        <charset val="1"/>
      </rPr>
      <t xml:space="preserve">) </t>
    </r>
    <r>
      <rPr>
        <sz val="11"/>
        <color theme="1"/>
        <rFont val="FreeSans"/>
        <family val="2"/>
      </rPr>
      <t xml:space="preserve">إلى نهاية الرقم</t>
    </r>
  </si>
  <si>
    <t xml:space="preserve">3</t>
  </si>
  <si>
    <r>
      <rPr>
        <sz val="11"/>
        <color theme="1"/>
        <rFont val="FreeSans"/>
        <family val="2"/>
      </rPr>
      <t xml:space="preserve">استبدال كل حرف برقمه</t>
    </r>
    <r>
      <rPr>
        <sz val="11"/>
        <color theme="1"/>
        <rFont val="Calibri"/>
        <family val="2"/>
        <charset val="1"/>
      </rPr>
      <t xml:space="preserve">: A=10</t>
    </r>
    <r>
      <rPr>
        <sz val="11"/>
        <color theme="1"/>
        <rFont val="FreeSans"/>
        <family val="2"/>
      </rPr>
      <t xml:space="preserve">، </t>
    </r>
    <r>
      <rPr>
        <sz val="11"/>
        <color theme="1"/>
        <rFont val="Calibri"/>
        <family val="2"/>
        <charset val="1"/>
      </rPr>
      <t xml:space="preserve">B=11 … S=28 … Z=35  (SA ← 2810)</t>
    </r>
  </si>
  <si>
    <t xml:space="preserve">4</t>
  </si>
  <si>
    <r>
      <rPr>
        <sz val="11"/>
        <color theme="1"/>
        <rFont val="FreeSans"/>
        <family val="2"/>
      </rPr>
      <t xml:space="preserve">باقي أول </t>
    </r>
    <r>
      <rPr>
        <sz val="11"/>
        <color theme="1"/>
        <rFont val="Calibri"/>
        <family val="2"/>
        <charset val="1"/>
      </rPr>
      <t xml:space="preserve">9 </t>
    </r>
    <r>
      <rPr>
        <sz val="11"/>
        <color theme="1"/>
        <rFont val="FreeSans"/>
        <family val="2"/>
      </rPr>
      <t xml:space="preserve">خانات على </t>
    </r>
    <r>
      <rPr>
        <sz val="11"/>
        <color theme="1"/>
        <rFont val="Calibri"/>
        <family val="2"/>
        <charset val="1"/>
      </rPr>
      <t xml:space="preserve">97</t>
    </r>
  </si>
  <si>
    <t xml:space="preserve">5</t>
  </si>
  <si>
    <r>
      <rPr>
        <sz val="11"/>
        <color theme="1"/>
        <rFont val="FreeSans"/>
        <family val="2"/>
      </rPr>
      <t xml:space="preserve">الباقي السابق </t>
    </r>
    <r>
      <rPr>
        <sz val="11"/>
        <color theme="1"/>
        <rFont val="Calibri"/>
        <family val="2"/>
        <charset val="1"/>
      </rPr>
      <t xml:space="preserve">+ </t>
    </r>
    <r>
      <rPr>
        <sz val="11"/>
        <color theme="1"/>
        <rFont val="FreeSans"/>
        <family val="2"/>
      </rPr>
      <t xml:space="preserve">الخانات </t>
    </r>
    <r>
      <rPr>
        <sz val="11"/>
        <color theme="1"/>
        <rFont val="Calibri"/>
        <family val="2"/>
        <charset val="1"/>
      </rPr>
      <t xml:space="preserve">7 </t>
    </r>
    <r>
      <rPr>
        <sz val="11"/>
        <color theme="1"/>
        <rFont val="FreeSans"/>
        <family val="2"/>
      </rPr>
      <t xml:space="preserve">التالية، ثم الباقي على </t>
    </r>
    <r>
      <rPr>
        <sz val="11"/>
        <color theme="1"/>
        <rFont val="Calibri"/>
        <family val="2"/>
        <charset val="1"/>
      </rPr>
      <t xml:space="preserve">97</t>
    </r>
  </si>
  <si>
    <t xml:space="preserve">6</t>
  </si>
  <si>
    <t xml:space="preserve">7</t>
  </si>
  <si>
    <r>
      <rPr>
        <sz val="11"/>
        <color theme="1"/>
        <rFont val="FreeSans"/>
        <family val="2"/>
      </rPr>
      <t xml:space="preserve">الباقي السابق </t>
    </r>
    <r>
      <rPr>
        <sz val="11"/>
        <color theme="1"/>
        <rFont val="Calibri"/>
        <family val="2"/>
        <charset val="1"/>
      </rPr>
      <t xml:space="preserve">+ </t>
    </r>
    <r>
      <rPr>
        <sz val="11"/>
        <color theme="1"/>
        <rFont val="FreeSans"/>
        <family val="2"/>
      </rPr>
      <t xml:space="preserve">الخانات المتبقية، ثم الباقي على </t>
    </r>
    <r>
      <rPr>
        <sz val="11"/>
        <color theme="1"/>
        <rFont val="Calibri"/>
        <family val="2"/>
        <charset val="1"/>
      </rPr>
      <t xml:space="preserve">97 = </t>
    </r>
    <r>
      <rPr>
        <sz val="11"/>
        <color theme="1"/>
        <rFont val="FreeSans"/>
        <family val="2"/>
      </rPr>
      <t xml:space="preserve">باقي الرقم كاملاً</t>
    </r>
  </si>
  <si>
    <t xml:space="preserve">8</t>
  </si>
  <si>
    <r>
      <rPr>
        <sz val="11"/>
        <color theme="1"/>
        <rFont val="FreeSans"/>
        <family val="2"/>
      </rPr>
      <t xml:space="preserve">الحكم</t>
    </r>
    <r>
      <rPr>
        <sz val="11"/>
        <color theme="1"/>
        <rFont val="Calibri"/>
        <family val="2"/>
        <charset val="1"/>
      </rPr>
      <t xml:space="preserve">: </t>
    </r>
    <r>
      <rPr>
        <sz val="11"/>
        <color theme="1"/>
        <rFont val="FreeSans"/>
        <family val="2"/>
      </rPr>
      <t xml:space="preserve">الآيبان صحيح إذا وفقط إذا كان الباقي </t>
    </r>
    <r>
      <rPr>
        <sz val="11"/>
        <color theme="1"/>
        <rFont val="Calibri"/>
        <family val="2"/>
        <charset val="1"/>
      </rPr>
      <t xml:space="preserve">= 1</t>
    </r>
  </si>
  <si>
    <t xml:space="preserve">حساب</t>
  </si>
  <si>
    <t xml:space="preserve">كيف تُولَّد خانتا التدقيق لحساب جديد:</t>
  </si>
  <si>
    <t xml:space="preserve">أ</t>
  </si>
  <si>
    <r>
      <rPr>
        <sz val="11"/>
        <color theme="1"/>
        <rFont val="FreeSans"/>
        <family val="2"/>
      </rPr>
      <t xml:space="preserve">ضع </t>
    </r>
    <r>
      <rPr>
        <sz val="11"/>
        <color theme="1"/>
        <rFont val="Calibri"/>
        <family val="2"/>
        <charset val="1"/>
      </rPr>
      <t xml:space="preserve">00 </t>
    </r>
    <r>
      <rPr>
        <sz val="11"/>
        <color theme="1"/>
        <rFont val="FreeSans"/>
        <family val="2"/>
      </rPr>
      <t xml:space="preserve">مكان خانتي التدقيق</t>
    </r>
    <r>
      <rPr>
        <sz val="11"/>
        <color theme="1"/>
        <rFont val="Calibri"/>
        <family val="2"/>
        <charset val="1"/>
      </rPr>
      <t xml:space="preserve">: </t>
    </r>
    <r>
      <rPr>
        <sz val="11"/>
        <color theme="1"/>
        <rFont val="FreeSans"/>
        <family val="2"/>
      </rPr>
      <t xml:space="preserve">رمز البنك </t>
    </r>
    <r>
      <rPr>
        <sz val="11"/>
        <color theme="1"/>
        <rFont val="Calibri"/>
        <family val="2"/>
        <charset val="1"/>
      </rPr>
      <t xml:space="preserve">&amp; </t>
    </r>
    <r>
      <rPr>
        <sz val="11"/>
        <color theme="1"/>
        <rFont val="FreeSans"/>
        <family val="2"/>
      </rPr>
      <t xml:space="preserve">رقم الحساب </t>
    </r>
    <r>
      <rPr>
        <sz val="11"/>
        <color theme="1"/>
        <rFont val="Calibri"/>
        <family val="2"/>
        <charset val="1"/>
      </rPr>
      <t xml:space="preserve">&amp; SA00</t>
    </r>
  </si>
  <si>
    <t xml:space="preserve">ب</t>
  </si>
  <si>
    <r>
      <rPr>
        <sz val="11"/>
        <color theme="1"/>
        <rFont val="FreeSans"/>
        <family val="2"/>
      </rPr>
      <t xml:space="preserve">احسب الباقي على </t>
    </r>
    <r>
      <rPr>
        <sz val="11"/>
        <color theme="1"/>
        <rFont val="Calibri"/>
        <family val="2"/>
        <charset val="1"/>
      </rPr>
      <t xml:space="preserve">97 </t>
    </r>
    <r>
      <rPr>
        <sz val="11"/>
        <color theme="1"/>
        <rFont val="FreeSans"/>
        <family val="2"/>
      </rPr>
      <t xml:space="preserve">بالطريقة نفسها </t>
    </r>
    <r>
      <rPr>
        <sz val="11"/>
        <color theme="1"/>
        <rFont val="Calibri"/>
        <family val="2"/>
        <charset val="1"/>
      </rPr>
      <t xml:space="preserve">(</t>
    </r>
    <r>
      <rPr>
        <sz val="11"/>
        <color theme="1"/>
        <rFont val="FreeSans"/>
        <family val="2"/>
      </rPr>
      <t xml:space="preserve">على دفعات</t>
    </r>
    <r>
      <rPr>
        <sz val="11"/>
        <color theme="1"/>
        <rFont val="Calibri"/>
        <family val="2"/>
        <charset val="1"/>
      </rPr>
      <t xml:space="preserve">)</t>
    </r>
  </si>
  <si>
    <t xml:space="preserve">ج</t>
  </si>
  <si>
    <r>
      <rPr>
        <sz val="11"/>
        <color theme="1"/>
        <rFont val="FreeSans"/>
        <family val="2"/>
      </rPr>
      <t xml:space="preserve">خانتا التدقيق </t>
    </r>
    <r>
      <rPr>
        <sz val="11"/>
        <color theme="1"/>
        <rFont val="Calibri"/>
        <family val="2"/>
        <charset val="1"/>
      </rPr>
      <t xml:space="preserve">= 98 − </t>
    </r>
    <r>
      <rPr>
        <sz val="11"/>
        <color theme="1"/>
        <rFont val="FreeSans"/>
        <family val="2"/>
      </rPr>
      <t xml:space="preserve">الباقي </t>
    </r>
    <r>
      <rPr>
        <sz val="11"/>
        <color theme="1"/>
        <rFont val="Calibri"/>
        <family val="2"/>
        <charset val="1"/>
      </rPr>
      <t xml:space="preserve">(</t>
    </r>
    <r>
      <rPr>
        <sz val="11"/>
        <color theme="1"/>
        <rFont val="FreeSans"/>
        <family val="2"/>
      </rPr>
      <t xml:space="preserve">بخانتين، مع صفر بادئ</t>
    </r>
    <r>
      <rPr>
        <sz val="11"/>
        <color theme="1"/>
        <rFont val="Calibri"/>
        <family val="2"/>
        <charset val="1"/>
      </rPr>
      <t xml:space="preserve">)</t>
    </r>
  </si>
  <si>
    <t xml:space="preserve">د</t>
  </si>
  <si>
    <t xml:space="preserve">الآيبان الناتج</t>
  </si>
  <si>
    <t xml:space="preserve">لماذا على دفعات؟ الرقم الناتج 26 خانة، ودقة Excel 15 خانة فقط، فيُقسم إلى أجزاء لا تتجاوز 9 خانات مع حمل الباقي — النتيجة مطابقة رياضياً.</t>
  </si>
  <si>
    <t xml:space="preserve">ما الذي تكشفه الخوارزمية؟ كل خطأ في خانة واحدة، وكل تبديل لخانتين متجاورتين، ونحو 99% من الأخطاء الأخرى.</t>
  </si>
  <si>
    <t xml:space="preserve">ما الذي لا تكشفه؟ صحة الآيبان رياضياً لا تعني أن الحساب موجود أو مفتوح أو باسم المستفيد — هذا يتطلب التحقق من البنك (خدمة التحقق من اسم المستفيد عبر سريع / ساريع).</t>
  </si>
  <si>
    <t xml:space="preserve">المرجع: ISO 13616-1:2020، ISO 7064 (MOD 97-10)، سجل SWIFT للآيبان، ومقال medium.com/@matlabb «IBAN Structure and MOD-97 Validation Algorithm».</t>
  </si>
  <si>
    <t xml:space="preserve">تدقيق الملف الاسترشادي saudi_bank_codes.xlsx مقابل المصادر</t>
  </si>
  <si>
    <t xml:space="preserve">الأعمدة C و D كما وردت في الملف؛ E و F القيمة المتحقق منها؛ G يبيّن لمن يعود الرمز الوارد في الملف فعلاً حسب ورقة «رموز البنوك». «غير مؤكد» تعني أنه لم يُعثر على مصدر موثوق، لا أن القيمة خاطئة بالضرورة.</t>
  </si>
  <si>
    <t xml:space="preserve">النوع</t>
  </si>
  <si>
    <t xml:space="preserve">رمز الآيبان في الملف</t>
  </si>
  <si>
    <t xml:space="preserve">SWIFT في الملف</t>
  </si>
  <si>
    <t xml:space="preserve">رمز الآيبان المتحقق منه</t>
  </si>
  <si>
    <t xml:space="preserve">SWIFT المتحقق منه</t>
  </si>
  <si>
    <t xml:space="preserve">الرمز في الملف يعود فعلاً إلى</t>
  </si>
  <si>
    <t xml:space="preserve">حكم رمز الآيبان</t>
  </si>
  <si>
    <t xml:space="preserve">حكم SWIFT</t>
  </si>
  <si>
    <t xml:space="preserve">محلي</t>
  </si>
  <si>
    <r>
      <rPr>
        <sz val="11"/>
        <color theme="1"/>
        <rFont val="FreeSans"/>
        <family val="2"/>
      </rPr>
      <t xml:space="preserve">البنك الأهلي السعودي </t>
    </r>
    <r>
      <rPr>
        <sz val="11"/>
        <color theme="1"/>
        <rFont val="Calibri"/>
        <family val="2"/>
        <charset val="1"/>
      </rPr>
      <t xml:space="preserve">(SNB)</t>
    </r>
  </si>
  <si>
    <t xml:space="preserve">NCBKSARI</t>
  </si>
  <si>
    <r>
      <rPr>
        <sz val="11"/>
        <color theme="1"/>
        <rFont val="FreeSans"/>
        <family val="2"/>
      </rPr>
      <t xml:space="preserve">رمز </t>
    </r>
    <r>
      <rPr>
        <sz val="11"/>
        <color theme="1"/>
        <rFont val="Calibri"/>
        <family val="2"/>
        <charset val="1"/>
      </rPr>
      <t xml:space="preserve">SWIFT </t>
    </r>
    <r>
      <rPr>
        <sz val="11"/>
        <color theme="1"/>
        <rFont val="FreeSans"/>
        <family val="2"/>
      </rPr>
      <t xml:space="preserve">للأهلي ينتهي بـ </t>
    </r>
    <r>
      <rPr>
        <sz val="11"/>
        <color theme="1"/>
        <rFont val="Calibri"/>
        <family val="2"/>
        <charset val="1"/>
      </rPr>
      <t xml:space="preserve">JE </t>
    </r>
    <r>
      <rPr>
        <sz val="11"/>
        <color theme="1"/>
        <rFont val="FreeSans"/>
        <family val="2"/>
      </rPr>
      <t xml:space="preserve">وليس </t>
    </r>
    <r>
      <rPr>
        <sz val="11"/>
        <color theme="1"/>
        <rFont val="Calibri"/>
        <family val="2"/>
        <charset val="1"/>
      </rPr>
      <t xml:space="preserve">RI</t>
    </r>
  </si>
  <si>
    <t xml:space="preserve">RYADSARI</t>
  </si>
  <si>
    <r>
      <rPr>
        <sz val="11"/>
        <color theme="1"/>
        <rFont val="FreeSans"/>
        <family val="2"/>
      </rPr>
      <t xml:space="preserve">رمز </t>
    </r>
    <r>
      <rPr>
        <sz val="11"/>
        <color theme="1"/>
        <rFont val="Calibri"/>
        <family val="2"/>
        <charset val="1"/>
      </rPr>
      <t xml:space="preserve">SWIFT </t>
    </r>
    <r>
      <rPr>
        <sz val="11"/>
        <color theme="1"/>
        <rFont val="FreeSans"/>
        <family val="2"/>
      </rPr>
      <t xml:space="preserve">لبنك الرياض هو </t>
    </r>
    <r>
      <rPr>
        <sz val="11"/>
        <color theme="1"/>
        <rFont val="Calibri"/>
        <family val="2"/>
        <charset val="1"/>
      </rPr>
      <t xml:space="preserve">RIBLSARI</t>
    </r>
  </si>
  <si>
    <t xml:space="preserve">BLADSARI</t>
  </si>
  <si>
    <r>
      <rPr>
        <sz val="11"/>
        <color theme="1"/>
        <rFont val="FreeSans"/>
        <family val="2"/>
      </rPr>
      <t xml:space="preserve">رمز </t>
    </r>
    <r>
      <rPr>
        <sz val="11"/>
        <color theme="1"/>
        <rFont val="Calibri"/>
        <family val="2"/>
        <charset val="1"/>
      </rPr>
      <t xml:space="preserve">SWIFT </t>
    </r>
    <r>
      <rPr>
        <sz val="11"/>
        <color theme="1"/>
        <rFont val="FreeSans"/>
        <family val="2"/>
      </rPr>
      <t xml:space="preserve">لبنك البلاد هو </t>
    </r>
    <r>
      <rPr>
        <sz val="11"/>
        <color theme="1"/>
        <rFont val="Calibri"/>
        <family val="2"/>
        <charset val="1"/>
      </rPr>
      <t xml:space="preserve">ALBISARI</t>
    </r>
  </si>
  <si>
    <r>
      <rPr>
        <sz val="11"/>
        <color theme="1"/>
        <rFont val="FreeSans"/>
        <family val="2"/>
      </rPr>
      <t xml:space="preserve">البنك العربي الوطني </t>
    </r>
    <r>
      <rPr>
        <sz val="11"/>
        <color theme="1"/>
        <rFont val="Calibri"/>
        <family val="2"/>
        <charset val="1"/>
      </rPr>
      <t xml:space="preserve">(ANB)</t>
    </r>
  </si>
  <si>
    <r>
      <rPr>
        <sz val="11"/>
        <color theme="1"/>
        <rFont val="FreeSans"/>
        <family val="2"/>
      </rPr>
      <t xml:space="preserve">البنك السعودي الأول </t>
    </r>
    <r>
      <rPr>
        <sz val="11"/>
        <color theme="1"/>
        <rFont val="Calibri"/>
        <family val="2"/>
        <charset val="1"/>
      </rPr>
      <t xml:space="preserve">(SAB)</t>
    </r>
  </si>
  <si>
    <t xml:space="preserve">40 / 45</t>
  </si>
  <si>
    <r>
      <rPr>
        <sz val="11"/>
        <color theme="1"/>
        <rFont val="Calibri"/>
        <family val="2"/>
        <charset val="1"/>
      </rPr>
      <t xml:space="preserve">40 </t>
    </r>
    <r>
      <rPr>
        <sz val="11"/>
        <color theme="1"/>
        <rFont val="FreeSans"/>
        <family val="2"/>
      </rPr>
      <t xml:space="preserve">كان رمز سامبا </t>
    </r>
    <r>
      <rPr>
        <sz val="11"/>
        <color theme="1"/>
        <rFont val="Calibri"/>
        <family val="2"/>
        <charset val="1"/>
      </rPr>
      <t xml:space="preserve">(</t>
    </r>
    <r>
      <rPr>
        <sz val="11"/>
        <color theme="1"/>
        <rFont val="FreeSans"/>
        <family val="2"/>
      </rPr>
      <t xml:space="preserve">اندمج في الأهلي </t>
    </r>
    <r>
      <rPr>
        <sz val="11"/>
        <color theme="1"/>
        <rFont val="Calibri"/>
        <family val="2"/>
        <charset val="1"/>
      </rPr>
      <t xml:space="preserve">2021) </t>
    </r>
    <r>
      <rPr>
        <sz val="11"/>
        <color theme="1"/>
        <rFont val="FreeSans"/>
        <family val="2"/>
      </rPr>
      <t xml:space="preserve">وليس ساب؛ رمز ساب </t>
    </r>
    <r>
      <rPr>
        <sz val="11"/>
        <color theme="1"/>
        <rFont val="Calibri"/>
        <family val="2"/>
        <charset val="1"/>
      </rPr>
      <t xml:space="preserve">45 </t>
    </r>
    <r>
      <rPr>
        <sz val="11"/>
        <color theme="1"/>
        <rFont val="FreeSans"/>
        <family val="2"/>
      </rPr>
      <t xml:space="preserve">فقط </t>
    </r>
    <r>
      <rPr>
        <sz val="11"/>
        <color theme="1"/>
        <rFont val="Calibri"/>
        <family val="2"/>
        <charset val="1"/>
      </rPr>
      <t xml:space="preserve">(</t>
    </r>
    <r>
      <rPr>
        <sz val="11"/>
        <color theme="1"/>
        <rFont val="FreeSans"/>
        <family val="2"/>
      </rPr>
      <t xml:space="preserve">و</t>
    </r>
    <r>
      <rPr>
        <sz val="11"/>
        <color theme="1"/>
        <rFont val="Calibri"/>
        <family val="2"/>
        <charset val="1"/>
      </rPr>
      <t xml:space="preserve">50 </t>
    </r>
    <r>
      <rPr>
        <sz val="11"/>
        <color theme="1"/>
        <rFont val="FreeSans"/>
        <family val="2"/>
      </rPr>
      <t xml:space="preserve">للبنك الأول المدمج فيه</t>
    </r>
    <r>
      <rPr>
        <sz val="11"/>
        <color theme="1"/>
        <rFont val="Calibri"/>
        <family val="2"/>
        <charset val="1"/>
      </rPr>
      <t xml:space="preserve">)</t>
    </r>
  </si>
  <si>
    <t xml:space="preserve">BJAZSARI</t>
  </si>
  <si>
    <r>
      <rPr>
        <sz val="11"/>
        <color theme="1"/>
        <rFont val="FreeSans"/>
        <family val="2"/>
      </rPr>
      <t xml:space="preserve">رمز </t>
    </r>
    <r>
      <rPr>
        <sz val="11"/>
        <color theme="1"/>
        <rFont val="Calibri"/>
        <family val="2"/>
        <charset val="1"/>
      </rPr>
      <t xml:space="preserve">SWIFT </t>
    </r>
    <r>
      <rPr>
        <sz val="11"/>
        <color theme="1"/>
        <rFont val="FreeSans"/>
        <family val="2"/>
      </rPr>
      <t xml:space="preserve">لبنك الجزيرة </t>
    </r>
    <r>
      <rPr>
        <sz val="11"/>
        <color theme="1"/>
        <rFont val="Calibri"/>
        <family val="2"/>
        <charset val="1"/>
      </rPr>
      <t xml:space="preserve">BJAZSAJE (</t>
    </r>
    <r>
      <rPr>
        <sz val="11"/>
        <color theme="1"/>
        <rFont val="FreeSans"/>
        <family val="2"/>
      </rPr>
      <t xml:space="preserve">جدة</t>
    </r>
    <r>
      <rPr>
        <sz val="11"/>
        <color theme="1"/>
        <rFont val="Calibri"/>
        <family val="2"/>
        <charset val="1"/>
      </rPr>
      <t xml:space="preserve">)</t>
    </r>
  </si>
  <si>
    <r>
      <rPr>
        <sz val="11"/>
        <color theme="1"/>
        <rFont val="FreeSans"/>
        <family val="2"/>
      </rPr>
      <t xml:space="preserve">البنك السعودي للاستثمار </t>
    </r>
    <r>
      <rPr>
        <sz val="11"/>
        <color theme="1"/>
        <rFont val="Calibri"/>
        <family val="2"/>
        <charset val="1"/>
      </rPr>
      <t xml:space="preserve">(SAIB)</t>
    </r>
  </si>
  <si>
    <t xml:space="preserve">SBVCSARI</t>
  </si>
  <si>
    <r>
      <rPr>
        <sz val="11"/>
        <color theme="1"/>
        <rFont val="FreeSans"/>
        <family val="2"/>
      </rPr>
      <t xml:space="preserve">رمز </t>
    </r>
    <r>
      <rPr>
        <sz val="11"/>
        <color theme="1"/>
        <rFont val="Calibri"/>
        <family val="2"/>
        <charset val="1"/>
      </rPr>
      <t xml:space="preserve">SWIFT </t>
    </r>
    <r>
      <rPr>
        <sz val="11"/>
        <color theme="1"/>
        <rFont val="FreeSans"/>
        <family val="2"/>
      </rPr>
      <t xml:space="preserve">للبنك السعودي للاستثمار </t>
    </r>
    <r>
      <rPr>
        <sz val="11"/>
        <color theme="1"/>
        <rFont val="Calibri"/>
        <family val="2"/>
        <charset val="1"/>
      </rPr>
      <t xml:space="preserve">SIBCSARI</t>
    </r>
  </si>
  <si>
    <t xml:space="preserve">رقمي</t>
  </si>
  <si>
    <t xml:space="preserve">STCBSARI</t>
  </si>
  <si>
    <r>
      <rPr>
        <sz val="11"/>
        <color theme="1"/>
        <rFont val="Calibri"/>
        <family val="2"/>
        <charset val="1"/>
      </rPr>
      <t xml:space="preserve">76 </t>
    </r>
    <r>
      <rPr>
        <sz val="11"/>
        <color theme="1"/>
        <rFont val="FreeSans"/>
        <family val="2"/>
      </rPr>
      <t xml:space="preserve">رمز بنك مسقط؛ رمز </t>
    </r>
    <r>
      <rPr>
        <sz val="11"/>
        <color theme="1"/>
        <rFont val="Calibri"/>
        <family val="2"/>
        <charset val="1"/>
      </rPr>
      <t xml:space="preserve">STC Bank </t>
    </r>
    <r>
      <rPr>
        <sz val="11"/>
        <color theme="1"/>
        <rFont val="FreeSans"/>
        <family val="2"/>
      </rPr>
      <t xml:space="preserve">هو </t>
    </r>
    <r>
      <rPr>
        <sz val="11"/>
        <color theme="1"/>
        <rFont val="Calibri"/>
        <family val="2"/>
        <charset val="1"/>
      </rPr>
      <t xml:space="preserve">78 (</t>
    </r>
    <r>
      <rPr>
        <sz val="11"/>
        <color theme="1"/>
        <rFont val="FreeSans"/>
        <family val="2"/>
      </rPr>
      <t xml:space="preserve">آيبان منشور يجتاز </t>
    </r>
    <r>
      <rPr>
        <sz val="11"/>
        <color theme="1"/>
        <rFont val="Calibri"/>
        <family val="2"/>
        <charset val="1"/>
      </rPr>
      <t xml:space="preserve">MOD-97</t>
    </r>
    <r>
      <rPr>
        <sz val="11"/>
        <color theme="1"/>
        <rFont val="FreeSans"/>
        <family val="2"/>
      </rPr>
      <t xml:space="preserve">، مصدر واحد</t>
    </r>
    <r>
      <rPr>
        <sz val="11"/>
        <color theme="1"/>
        <rFont val="Calibri"/>
        <family val="2"/>
        <charset val="1"/>
      </rPr>
      <t xml:space="preserve">) </t>
    </r>
    <r>
      <rPr>
        <sz val="11"/>
        <color theme="1"/>
        <rFont val="FreeSans"/>
        <family val="2"/>
      </rPr>
      <t xml:space="preserve">ورمز </t>
    </r>
    <r>
      <rPr>
        <sz val="11"/>
        <color theme="1"/>
        <rFont val="Calibri"/>
        <family val="2"/>
        <charset val="1"/>
      </rPr>
      <t xml:space="preserve">SWIFT </t>
    </r>
    <r>
      <rPr>
        <sz val="11"/>
        <color theme="1"/>
        <rFont val="FreeSans"/>
        <family val="2"/>
      </rPr>
      <t xml:space="preserve">هو </t>
    </r>
    <r>
      <rPr>
        <sz val="11"/>
        <color theme="1"/>
        <rFont val="Calibri"/>
        <family val="2"/>
        <charset val="1"/>
      </rPr>
      <t xml:space="preserve">STCJSARI</t>
    </r>
  </si>
  <si>
    <r>
      <rPr>
        <sz val="11"/>
        <color theme="1"/>
        <rFont val="FreeSans"/>
        <family val="2"/>
      </rPr>
      <t xml:space="preserve">بنك </t>
    </r>
    <r>
      <rPr>
        <sz val="11"/>
        <color theme="1"/>
        <rFont val="Calibri"/>
        <family val="2"/>
        <charset val="1"/>
      </rPr>
      <t xml:space="preserve">D360</t>
    </r>
  </si>
  <si>
    <t xml:space="preserve">D360SARI</t>
  </si>
  <si>
    <r>
      <rPr>
        <sz val="11"/>
        <color theme="1"/>
        <rFont val="FreeSans"/>
        <family val="2"/>
      </rPr>
      <t xml:space="preserve">الرمز </t>
    </r>
    <r>
      <rPr>
        <sz val="11"/>
        <color theme="1"/>
        <rFont val="Calibri"/>
        <family val="2"/>
        <charset val="1"/>
      </rPr>
      <t xml:space="preserve">36 </t>
    </r>
    <r>
      <rPr>
        <sz val="11"/>
        <color theme="1"/>
        <rFont val="FreeSans"/>
        <family val="2"/>
      </rPr>
      <t xml:space="preserve">مؤكد بآيبان فعلي قدّمه المستخدم يجتاز </t>
    </r>
    <r>
      <rPr>
        <sz val="11"/>
        <color theme="1"/>
        <rFont val="Calibri"/>
        <family val="2"/>
        <charset val="1"/>
      </rPr>
      <t xml:space="preserve">MOD-97</t>
    </r>
    <r>
      <rPr>
        <sz val="11"/>
        <color theme="1"/>
        <rFont val="FreeSans"/>
        <family val="2"/>
      </rPr>
      <t xml:space="preserve">؛ رمز </t>
    </r>
    <r>
      <rPr>
        <sz val="11"/>
        <color theme="1"/>
        <rFont val="Calibri"/>
        <family val="2"/>
        <charset val="1"/>
      </rPr>
      <t xml:space="preserve">SWIFT </t>
    </r>
    <r>
      <rPr>
        <sz val="11"/>
        <color theme="1"/>
        <rFont val="FreeSans"/>
        <family val="2"/>
      </rPr>
      <t xml:space="preserve">الصحيح </t>
    </r>
    <r>
      <rPr>
        <sz val="11"/>
        <color theme="1"/>
        <rFont val="Calibri"/>
        <family val="2"/>
        <charset val="1"/>
      </rPr>
      <t xml:space="preserve">DBAKSARI (</t>
    </r>
    <r>
      <rPr>
        <sz val="11"/>
        <color theme="1"/>
        <rFont val="FreeSans"/>
        <family val="2"/>
      </rPr>
      <t xml:space="preserve">أو </t>
    </r>
    <r>
      <rPr>
        <sz val="11"/>
        <color theme="1"/>
        <rFont val="Calibri"/>
        <family val="2"/>
        <charset val="1"/>
      </rPr>
      <t xml:space="preserve">DBAKSARIXXX </t>
    </r>
    <r>
      <rPr>
        <sz val="11"/>
        <color theme="1"/>
        <rFont val="FreeSans"/>
        <family val="2"/>
      </rPr>
      <t xml:space="preserve">بصيغة </t>
    </r>
    <r>
      <rPr>
        <sz val="11"/>
        <color theme="1"/>
        <rFont val="Calibri"/>
        <family val="2"/>
        <charset val="1"/>
      </rPr>
      <t xml:space="preserve">11 </t>
    </r>
    <r>
      <rPr>
        <sz val="11"/>
        <color theme="1"/>
        <rFont val="FreeSans"/>
        <family val="2"/>
      </rPr>
      <t xml:space="preserve">خانة للمركز الرئيسي</t>
    </r>
    <r>
      <rPr>
        <sz val="11"/>
        <color theme="1"/>
        <rFont val="Calibri"/>
        <family val="2"/>
        <charset val="1"/>
      </rPr>
      <t xml:space="preserve">)</t>
    </r>
  </si>
  <si>
    <t xml:space="preserve">أجنبي</t>
  </si>
  <si>
    <r>
      <rPr>
        <sz val="11"/>
        <color theme="1"/>
        <rFont val="FreeSans"/>
        <family val="2"/>
      </rPr>
      <t xml:space="preserve">بنك أبوظبي الأول </t>
    </r>
    <r>
      <rPr>
        <sz val="11"/>
        <color theme="1"/>
        <rFont val="Calibri"/>
        <family val="2"/>
        <charset val="1"/>
      </rPr>
      <t xml:space="preserve">(FAB)</t>
    </r>
  </si>
  <si>
    <r>
      <rPr>
        <sz val="11"/>
        <color theme="1"/>
        <rFont val="FreeSans"/>
        <family val="2"/>
      </rPr>
      <t xml:space="preserve">الرمز </t>
    </r>
    <r>
      <rPr>
        <sz val="11"/>
        <color theme="1"/>
        <rFont val="Calibri"/>
        <family val="2"/>
        <charset val="1"/>
      </rPr>
      <t xml:space="preserve">73 </t>
    </r>
    <r>
      <rPr>
        <sz val="11"/>
        <color theme="1"/>
        <rFont val="FreeSans"/>
        <family val="2"/>
      </rPr>
      <t xml:space="preserve">مؤكد بآيبان فعلي قدّمه المستخدم يجتاز </t>
    </r>
    <r>
      <rPr>
        <sz val="11"/>
        <color theme="1"/>
        <rFont val="Calibri"/>
        <family val="2"/>
        <charset val="1"/>
      </rPr>
      <t xml:space="preserve">MOD-97</t>
    </r>
    <r>
      <rPr>
        <sz val="11"/>
        <color theme="1"/>
        <rFont val="FreeSans"/>
        <family val="2"/>
      </rPr>
      <t xml:space="preserve">؛ </t>
    </r>
    <r>
      <rPr>
        <sz val="11"/>
        <color theme="1"/>
        <rFont val="Calibri"/>
        <family val="2"/>
        <charset val="1"/>
      </rPr>
      <t xml:space="preserve">FABMSARI </t>
    </r>
    <r>
      <rPr>
        <sz val="11"/>
        <color theme="1"/>
        <rFont val="FreeSans"/>
        <family val="2"/>
      </rPr>
      <t xml:space="preserve">ورد في مصدر واحد</t>
    </r>
  </si>
  <si>
    <r>
      <rPr>
        <sz val="11"/>
        <color theme="1"/>
        <rFont val="FreeSans"/>
        <family val="2"/>
      </rPr>
      <t xml:space="preserve">بنك الكويت الوطني </t>
    </r>
    <r>
      <rPr>
        <sz val="11"/>
        <color theme="1"/>
        <rFont val="Calibri"/>
        <family val="2"/>
        <charset val="1"/>
      </rPr>
      <t xml:space="preserve">(NBK)</t>
    </r>
  </si>
  <si>
    <r>
      <rPr>
        <sz val="11"/>
        <color theme="1"/>
        <rFont val="FreeSans"/>
        <family val="2"/>
      </rPr>
      <t xml:space="preserve">بنك الكويت الوطني </t>
    </r>
    <r>
      <rPr>
        <sz val="11"/>
        <color theme="1"/>
        <rFont val="Calibri"/>
        <family val="2"/>
        <charset val="1"/>
      </rPr>
      <t xml:space="preserve">(NBK) - </t>
    </r>
    <r>
      <rPr>
        <sz val="11"/>
        <color theme="1"/>
        <rFont val="FreeSans"/>
        <family val="2"/>
      </rPr>
      <t xml:space="preserve">إصدارات أخرى</t>
    </r>
  </si>
  <si>
    <r>
      <rPr>
        <sz val="11"/>
        <color theme="1"/>
        <rFont val="Calibri"/>
        <family val="2"/>
        <charset val="1"/>
      </rPr>
      <t xml:space="preserve">95 </t>
    </r>
    <r>
      <rPr>
        <sz val="11"/>
        <color theme="1"/>
        <rFont val="FreeSans"/>
        <family val="2"/>
      </rPr>
      <t xml:space="preserve">هو رمز بنك الإمارات دبي الوطني وليس </t>
    </r>
    <r>
      <rPr>
        <sz val="11"/>
        <color theme="1"/>
        <rFont val="Calibri"/>
        <family val="2"/>
        <charset val="1"/>
      </rPr>
      <t xml:space="preserve">NBK</t>
    </r>
  </si>
  <si>
    <t xml:space="preserve">بنك الإمارات دبي الوطني</t>
  </si>
  <si>
    <r>
      <rPr>
        <sz val="11"/>
        <color theme="1"/>
        <rFont val="Calibri"/>
        <family val="2"/>
        <charset val="1"/>
      </rPr>
      <t xml:space="preserve">71 </t>
    </r>
    <r>
      <rPr>
        <sz val="11"/>
        <color theme="1"/>
        <rFont val="FreeSans"/>
        <family val="2"/>
      </rPr>
      <t xml:space="preserve">هو رمز بنك البحرين الوطني</t>
    </r>
  </si>
  <si>
    <r>
      <rPr>
        <sz val="11"/>
        <color theme="1"/>
        <rFont val="FreeSans"/>
        <family val="2"/>
      </rPr>
      <t xml:space="preserve">بنك الخليج الدولي </t>
    </r>
    <r>
      <rPr>
        <sz val="11"/>
        <color theme="1"/>
        <rFont val="Calibri"/>
        <family val="2"/>
        <charset val="1"/>
      </rPr>
      <t xml:space="preserve">(GIB / meem)</t>
    </r>
  </si>
  <si>
    <t xml:space="preserve">51</t>
  </si>
  <si>
    <t xml:space="preserve">غير مؤكد</t>
  </si>
  <si>
    <r>
      <rPr>
        <sz val="11"/>
        <color theme="1"/>
        <rFont val="Calibri"/>
        <family val="2"/>
        <charset val="1"/>
      </rPr>
      <t xml:space="preserve">GULFSARI </t>
    </r>
    <r>
      <rPr>
        <sz val="11"/>
        <color theme="1"/>
        <rFont val="FreeSans"/>
        <family val="2"/>
      </rPr>
      <t xml:space="preserve">ورد في الملف الاسترشادي فقط</t>
    </r>
  </si>
  <si>
    <t xml:space="preserve">بنك مسقط</t>
  </si>
  <si>
    <t xml:space="preserve">BMAYSARI</t>
  </si>
  <si>
    <r>
      <rPr>
        <sz val="11"/>
        <color theme="1"/>
        <rFont val="Calibri"/>
        <family val="2"/>
        <charset val="1"/>
      </rPr>
      <t xml:space="preserve">90 </t>
    </r>
    <r>
      <rPr>
        <sz val="11"/>
        <color theme="1"/>
        <rFont val="FreeSans"/>
        <family val="2"/>
      </rPr>
      <t xml:space="preserve">هو رمز بنك الخليج الدولي؛ </t>
    </r>
    <r>
      <rPr>
        <sz val="11"/>
        <color theme="1"/>
        <rFont val="Calibri"/>
        <family val="2"/>
        <charset val="1"/>
      </rPr>
      <t xml:space="preserve">SWIFT </t>
    </r>
    <r>
      <rPr>
        <sz val="11"/>
        <color theme="1"/>
        <rFont val="FreeSans"/>
        <family val="2"/>
      </rPr>
      <t xml:space="preserve">بنك مسقط </t>
    </r>
    <r>
      <rPr>
        <sz val="11"/>
        <color theme="1"/>
        <rFont val="Calibri"/>
        <family val="2"/>
        <charset val="1"/>
      </rPr>
      <t xml:space="preserve">BMUSSARI (</t>
    </r>
    <r>
      <rPr>
        <sz val="11"/>
        <color theme="1"/>
        <rFont val="FreeSans"/>
        <family val="2"/>
      </rPr>
      <t xml:space="preserve">مصدر واحد</t>
    </r>
    <r>
      <rPr>
        <sz val="11"/>
        <color theme="1"/>
        <rFont val="Calibri"/>
        <family val="2"/>
        <charset val="1"/>
      </rPr>
      <t xml:space="preserve">)</t>
    </r>
  </si>
  <si>
    <r>
      <rPr>
        <sz val="11"/>
        <color theme="1"/>
        <rFont val="FreeSans"/>
        <family val="2"/>
      </rPr>
      <t xml:space="preserve">بنك البحرين الوطني </t>
    </r>
    <r>
      <rPr>
        <sz val="11"/>
        <color theme="1"/>
        <rFont val="Calibri"/>
        <family val="2"/>
        <charset val="1"/>
      </rPr>
      <t xml:space="preserve">(NBB)</t>
    </r>
  </si>
  <si>
    <t xml:space="preserve">NBBHSARI</t>
  </si>
  <si>
    <r>
      <rPr>
        <sz val="11"/>
        <color theme="1"/>
        <rFont val="Calibri"/>
        <family val="2"/>
        <charset val="1"/>
      </rPr>
      <t xml:space="preserve">85 </t>
    </r>
    <r>
      <rPr>
        <sz val="11"/>
        <color theme="1"/>
        <rFont val="FreeSans"/>
        <family val="2"/>
      </rPr>
      <t xml:space="preserve">هو رمز بي إن بي باريبا؛ </t>
    </r>
    <r>
      <rPr>
        <sz val="11"/>
        <color theme="1"/>
        <rFont val="Calibri"/>
        <family val="2"/>
        <charset val="1"/>
      </rPr>
      <t xml:space="preserve">SWIFT </t>
    </r>
    <r>
      <rPr>
        <sz val="11"/>
        <color theme="1"/>
        <rFont val="FreeSans"/>
        <family val="2"/>
      </rPr>
      <t xml:space="preserve">بنك البحرين الوطني </t>
    </r>
    <r>
      <rPr>
        <sz val="11"/>
        <color theme="1"/>
        <rFont val="Calibri"/>
        <family val="2"/>
        <charset val="1"/>
      </rPr>
      <t xml:space="preserve">NBOBSARI (</t>
    </r>
    <r>
      <rPr>
        <sz val="11"/>
        <color theme="1"/>
        <rFont val="FreeSans"/>
        <family val="2"/>
      </rPr>
      <t xml:space="preserve">مصدر واحد</t>
    </r>
    <r>
      <rPr>
        <sz val="11"/>
        <color theme="1"/>
        <rFont val="Calibri"/>
        <family val="2"/>
        <charset val="1"/>
      </rPr>
      <t xml:space="preserve">)</t>
    </r>
  </si>
  <si>
    <t xml:space="preserve">جي بي مورغان تشيس</t>
  </si>
  <si>
    <t xml:space="preserve">CHESSARI</t>
  </si>
  <si>
    <r>
      <rPr>
        <sz val="11"/>
        <color theme="1"/>
        <rFont val="Calibri"/>
        <family val="2"/>
        <charset val="1"/>
      </rPr>
      <t xml:space="preserve">78 </t>
    </r>
    <r>
      <rPr>
        <sz val="11"/>
        <color theme="1"/>
        <rFont val="FreeSans"/>
        <family val="2"/>
      </rPr>
      <t xml:space="preserve">هو رمز </t>
    </r>
    <r>
      <rPr>
        <sz val="11"/>
        <color theme="1"/>
        <rFont val="Calibri"/>
        <family val="2"/>
        <charset val="1"/>
      </rPr>
      <t xml:space="preserve">STC Bank</t>
    </r>
    <r>
      <rPr>
        <sz val="11"/>
        <color theme="1"/>
        <rFont val="FreeSans"/>
        <family val="2"/>
      </rPr>
      <t xml:space="preserve">؛ رمز </t>
    </r>
    <r>
      <rPr>
        <sz val="11"/>
        <color theme="1"/>
        <rFont val="Calibri"/>
        <family val="2"/>
        <charset val="1"/>
      </rPr>
      <t xml:space="preserve">SWIFT </t>
    </r>
    <r>
      <rPr>
        <sz val="11"/>
        <color theme="1"/>
        <rFont val="FreeSans"/>
        <family val="2"/>
      </rPr>
      <t xml:space="preserve">المتداول </t>
    </r>
    <r>
      <rPr>
        <sz val="11"/>
        <color theme="1"/>
        <rFont val="Calibri"/>
        <family val="2"/>
        <charset val="1"/>
      </rPr>
      <t xml:space="preserve">CHASSARI </t>
    </r>
    <r>
      <rPr>
        <sz val="11"/>
        <color theme="1"/>
        <rFont val="FreeSans"/>
        <family val="2"/>
      </rPr>
      <t xml:space="preserve">وليس </t>
    </r>
    <r>
      <rPr>
        <sz val="11"/>
        <color theme="1"/>
        <rFont val="Calibri"/>
        <family val="2"/>
        <charset val="1"/>
      </rPr>
      <t xml:space="preserve">CHESSARI </t>
    </r>
    <r>
      <rPr>
        <sz val="11"/>
        <color theme="1"/>
        <rFont val="FreeSans"/>
        <family val="2"/>
      </rPr>
      <t xml:space="preserve">لكنه غير مؤكد</t>
    </r>
  </si>
  <si>
    <t xml:space="preserve">بي إن بي باريبا</t>
  </si>
  <si>
    <t xml:space="preserve">79</t>
  </si>
  <si>
    <r>
      <rPr>
        <sz val="11"/>
        <color theme="1"/>
        <rFont val="FreeSans"/>
        <family val="2"/>
      </rPr>
      <t xml:space="preserve">بنك الصين </t>
    </r>
    <r>
      <rPr>
        <sz val="11"/>
        <color theme="1"/>
        <rFont val="Calibri"/>
        <family val="2"/>
        <charset val="1"/>
      </rPr>
      <t xml:space="preserve">(Bank of China)</t>
    </r>
  </si>
  <si>
    <t xml:space="preserve">56</t>
  </si>
  <si>
    <t xml:space="preserve">BKCHSARI</t>
  </si>
  <si>
    <t xml:space="preserve">لم يُعثر على مصدر موثوق</t>
  </si>
  <si>
    <r>
      <rPr>
        <sz val="11"/>
        <color theme="1"/>
        <rFont val="FreeSans"/>
        <family val="2"/>
      </rPr>
      <t xml:space="preserve">البنك الصناعي والتجاري الصيني </t>
    </r>
    <r>
      <rPr>
        <sz val="11"/>
        <color theme="1"/>
        <rFont val="Calibri"/>
        <family val="2"/>
        <charset val="1"/>
      </rPr>
      <t xml:space="preserve">(ICBC)</t>
    </r>
  </si>
  <si>
    <t xml:space="preserve">53</t>
  </si>
  <si>
    <t xml:space="preserve">ICBKSARI</t>
  </si>
  <si>
    <t xml:space="preserve">الملخص</t>
  </si>
  <si>
    <t xml:space="preserve">رموز آيبان صحيحة</t>
  </si>
  <si>
    <t xml:space="preserve">رموز آيبان خاطئة</t>
  </si>
  <si>
    <t xml:space="preserve">رموز آيبان غير مؤكدة</t>
  </si>
  <si>
    <r>
      <rPr>
        <sz val="11"/>
        <color theme="1"/>
        <rFont val="FreeSans"/>
        <family val="2"/>
      </rPr>
      <t xml:space="preserve">رموز </t>
    </r>
    <r>
      <rPr>
        <sz val="11"/>
        <color theme="1"/>
        <rFont val="Calibri"/>
        <family val="2"/>
        <charset val="1"/>
      </rPr>
      <t xml:space="preserve">SWIFT </t>
    </r>
    <r>
      <rPr>
        <sz val="11"/>
        <color theme="1"/>
        <rFont val="FreeSans"/>
        <family val="2"/>
      </rPr>
      <t xml:space="preserve">صحيحة</t>
    </r>
  </si>
  <si>
    <r>
      <rPr>
        <sz val="11"/>
        <color theme="1"/>
        <rFont val="FreeSans"/>
        <family val="2"/>
      </rPr>
      <t xml:space="preserve">رموز </t>
    </r>
    <r>
      <rPr>
        <sz val="11"/>
        <color theme="1"/>
        <rFont val="Calibri"/>
        <family val="2"/>
        <charset val="1"/>
      </rPr>
      <t xml:space="preserve">SWIFT </t>
    </r>
    <r>
      <rPr>
        <sz val="11"/>
        <color theme="1"/>
        <rFont val="FreeSans"/>
        <family val="2"/>
      </rPr>
      <t xml:space="preserve">خاطئة</t>
    </r>
  </si>
  <si>
    <r>
      <rPr>
        <sz val="11"/>
        <color theme="1"/>
        <rFont val="FreeSans"/>
        <family val="2"/>
      </rPr>
      <t xml:space="preserve">رموز </t>
    </r>
    <r>
      <rPr>
        <sz val="11"/>
        <color theme="1"/>
        <rFont val="Calibri"/>
        <family val="2"/>
        <charset val="1"/>
      </rPr>
      <t xml:space="preserve">SWIFT </t>
    </r>
    <r>
      <rPr>
        <sz val="11"/>
        <color theme="1"/>
        <rFont val="FreeSans"/>
        <family val="2"/>
      </rPr>
      <t xml:space="preserve">غير مؤكدة</t>
    </r>
  </si>
  <si>
    <t xml:space="preserve">بنوك ناقصة من الملف: دويتشه بنك (81)، البنك الوطني الباكستاني (82)، بنك الدولة الهندي (83)، بنك زراعات (84)، ورموز البنوك المدمجة سامبا (40) والبنك الأول (50) التي قد تظهر في آيبانات قديمة.</t>
  </si>
</sst>
</file>

<file path=xl/styles.xml><?xml version="1.0" encoding="utf-8"?>
<styleSheet xmlns="http://schemas.openxmlformats.org/spreadsheetml/2006/main">
  <numFmts count="3">
    <numFmt numFmtId="164" formatCode="General"/>
    <numFmt numFmtId="165" formatCode="@"/>
    <numFmt numFmtId="166"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11"/>
      <color theme="1"/>
      <name val="FreeSans"/>
      <family val="2"/>
    </font>
    <font>
      <b val="true"/>
      <sz val="10"/>
      <color rgb="FFC00000"/>
      <name val="Arial"/>
      <family val="0"/>
      <charset val="1"/>
    </font>
    <font>
      <sz val="10"/>
      <color rgb="FF0000FF"/>
      <name val="Arial"/>
      <family val="0"/>
      <charset val="1"/>
    </font>
    <font>
      <sz val="10"/>
      <color rgb="FF808080"/>
      <name val="Arial"/>
      <family val="0"/>
      <charset val="1"/>
    </font>
    <font>
      <sz val="10"/>
      <name val="FreeSans"/>
      <family val="2"/>
    </font>
    <font>
      <sz val="10"/>
      <name val="Arial"/>
      <family val="2"/>
    </font>
    <font>
      <b val="true"/>
      <sz val="10"/>
      <name val="Arial"/>
      <family val="0"/>
      <charset val="1"/>
    </font>
    <font>
      <sz val="8"/>
      <color rgb="FF80808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right" vertical="center" textRotation="0" wrapText="true" indent="0" shrinkToFit="false"/>
      <protection locked="true" hidden="false"/>
    </xf>
    <xf numFmtId="164" fontId="8" fillId="0" borderId="0" xfId="0" applyFont="true" applyBorder="true" applyAlignment="true" applyProtection="false">
      <alignment horizontal="right" vertical="center" textRotation="0" wrapText="true" indent="0" shrinkToFit="false"/>
      <protection locked="true" hidden="false"/>
    </xf>
    <xf numFmtId="164" fontId="5" fillId="0" borderId="0" xfId="0" applyFont="true" applyBorder="true" applyAlignment="true" applyProtection="false">
      <alignment horizontal="right" vertical="center" textRotation="0" wrapText="true" indent="0" shrinkToFit="false"/>
      <protection locked="true" hidden="false"/>
    </xf>
    <xf numFmtId="165" fontId="0"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right" vertical="center" textRotation="0" wrapText="true" indent="0" shrinkToFit="false"/>
      <protection locked="true" hidden="false"/>
    </xf>
    <xf numFmtId="165" fontId="9" fillId="3" borderId="1"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right" vertical="center"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false" applyAlignment="false" applyProtection="false">
      <alignment horizontal="general" vertical="bottom" textRotation="0" wrapText="false" indent="0" shrinkToFit="false"/>
      <protection locked="true" hidden="false"/>
    </xf>
    <xf numFmtId="166" fontId="14" fillId="4"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right"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F2CC"/>
        </patternFill>
      </fill>
    </dxf>
    <dxf>
      <fill>
        <patternFill>
          <bgColor rgb="FFFFC7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12"/>
    <col collapsed="false" customWidth="true" hidden="false" outlineLevel="0" max="4" min="4" style="0" width="22"/>
    <col collapsed="false" customWidth="true" hidden="false" outlineLevel="0" max="5" min="5" style="0" width="70"/>
  </cols>
  <sheetData>
    <row r="1" customFormat="false" ht="17.15"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c r="E4" s="3" t="s">
        <v>6</v>
      </c>
    </row>
    <row r="5" customFormat="false" ht="48" hidden="false" customHeight="true" outlineLevel="0" collapsed="false">
      <c r="A5" s="4" t="s">
        <v>7</v>
      </c>
      <c r="B5" s="4" t="n">
        <v>2</v>
      </c>
      <c r="C5" s="5" t="s">
        <v>8</v>
      </c>
      <c r="D5" s="5" t="s">
        <v>9</v>
      </c>
      <c r="E5" s="6" t="s">
        <v>10</v>
      </c>
    </row>
    <row r="6" customFormat="false" ht="48" hidden="false" customHeight="true" outlineLevel="0" collapsed="false">
      <c r="A6" s="4" t="s">
        <v>11</v>
      </c>
      <c r="B6" s="5" t="n">
        <v>2</v>
      </c>
      <c r="C6" s="5" t="s">
        <v>12</v>
      </c>
      <c r="D6" s="5" t="s">
        <v>13</v>
      </c>
      <c r="E6" s="6" t="s">
        <v>14</v>
      </c>
    </row>
    <row r="7" customFormat="false" ht="48" hidden="false" customHeight="true" outlineLevel="0" collapsed="false">
      <c r="A7" s="4" t="s">
        <v>15</v>
      </c>
      <c r="B7" s="5" t="n">
        <v>2</v>
      </c>
      <c r="C7" s="5" t="s">
        <v>16</v>
      </c>
      <c r="D7" s="5" t="s">
        <v>17</v>
      </c>
      <c r="E7" s="6" t="s">
        <v>18</v>
      </c>
    </row>
    <row r="8" customFormat="false" ht="48" hidden="false" customHeight="true" outlineLevel="0" collapsed="false">
      <c r="A8" s="4" t="s">
        <v>19</v>
      </c>
      <c r="B8" s="5" t="n">
        <v>18</v>
      </c>
      <c r="C8" s="5" t="s">
        <v>20</v>
      </c>
      <c r="D8" s="5" t="s">
        <v>21</v>
      </c>
      <c r="E8" s="6" t="s">
        <v>22</v>
      </c>
    </row>
    <row r="9" customFormat="false" ht="48" hidden="false" customHeight="true" outlineLevel="0" collapsed="false">
      <c r="A9" s="4" t="s">
        <v>23</v>
      </c>
      <c r="B9" s="5" t="n">
        <v>24</v>
      </c>
      <c r="C9" s="5" t="s">
        <v>24</v>
      </c>
      <c r="D9" s="5" t="s">
        <v>25</v>
      </c>
      <c r="E9" s="6" t="s">
        <v>26</v>
      </c>
    </row>
    <row r="11" customFormat="false" ht="30" hidden="false" customHeight="true" outlineLevel="0" collapsed="false">
      <c r="A11" s="7" t="s">
        <v>27</v>
      </c>
      <c r="B11" s="7"/>
      <c r="C11" s="7"/>
      <c r="D11" s="7"/>
      <c r="E11" s="7"/>
    </row>
  </sheetData>
  <mergeCells count="1">
    <mergeCell ref="A11:E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4" min="3" style="0" width="34"/>
    <col collapsed="false" customWidth="true" hidden="false" outlineLevel="0" max="5" min="5" style="0" width="14"/>
    <col collapsed="false" customWidth="true" hidden="false" outlineLevel="0" max="6" min="6" style="0" width="22"/>
    <col collapsed="false" customWidth="true" hidden="false" outlineLevel="0" max="7" min="7" style="0" width="15"/>
    <col collapsed="false" customWidth="true" hidden="false" outlineLevel="0" max="8" min="8" style="0" width="40"/>
    <col collapsed="false" customWidth="true" hidden="false" outlineLevel="0" max="9" min="9" style="0" width="14"/>
    <col collapsed="false" customWidth="true" hidden="false" outlineLevel="0" max="10" min="10" style="0" width="24"/>
    <col collapsed="false" customWidth="true" hidden="false" outlineLevel="0" max="11" min="11" style="0" width="14"/>
    <col collapsed="false" customWidth="true" hidden="false" outlineLevel="0" max="12" min="12" style="0" width="34"/>
    <col collapsed="false" customWidth="true" hidden="false" outlineLevel="0" max="13" min="13" style="0" width="14"/>
    <col collapsed="false" customWidth="true" hidden="false" outlineLevel="0" max="14" min="14" style="0" width="30"/>
  </cols>
  <sheetData>
    <row r="1" customFormat="false" ht="17.35" hidden="false" customHeight="false" outlineLevel="0" collapsed="false">
      <c r="A1" s="1" t="s">
        <v>28</v>
      </c>
    </row>
    <row r="2" customFormat="false" ht="30" hidden="false" customHeight="true" outlineLevel="0" collapsed="false">
      <c r="A2" s="8" t="s">
        <v>29</v>
      </c>
      <c r="B2" s="8"/>
      <c r="C2" s="8"/>
      <c r="D2" s="8"/>
      <c r="E2" s="8"/>
      <c r="F2" s="8"/>
      <c r="G2" s="8"/>
      <c r="H2" s="8"/>
      <c r="I2" s="8"/>
      <c r="J2" s="8"/>
      <c r="K2" s="8"/>
      <c r="L2" s="8"/>
      <c r="M2" s="8"/>
    </row>
    <row r="4" customFormat="false" ht="31.5" hidden="false" customHeight="true" outlineLevel="0" collapsed="false">
      <c r="A4" s="3" t="s">
        <v>30</v>
      </c>
      <c r="B4" s="3" t="s">
        <v>15</v>
      </c>
      <c r="C4" s="3" t="s">
        <v>31</v>
      </c>
      <c r="D4" s="3" t="s">
        <v>32</v>
      </c>
      <c r="E4" s="3" t="s">
        <v>33</v>
      </c>
      <c r="F4" s="3" t="s">
        <v>34</v>
      </c>
      <c r="G4" s="3" t="s">
        <v>35</v>
      </c>
      <c r="H4" s="3" t="s">
        <v>36</v>
      </c>
      <c r="I4" s="3" t="s">
        <v>37</v>
      </c>
      <c r="J4" s="3" t="s">
        <v>38</v>
      </c>
      <c r="K4" s="3" t="s">
        <v>39</v>
      </c>
      <c r="L4" s="3" t="s">
        <v>40</v>
      </c>
      <c r="M4" s="3" t="s">
        <v>41</v>
      </c>
      <c r="N4" s="3" t="s">
        <v>42</v>
      </c>
    </row>
    <row r="5" customFormat="false" ht="15" hidden="false" customHeight="false" outlineLevel="0" collapsed="false">
      <c r="A5" s="5" t="n">
        <v>1</v>
      </c>
      <c r="B5" s="9" t="s">
        <v>43</v>
      </c>
      <c r="C5" s="6" t="s">
        <v>44</v>
      </c>
      <c r="D5" s="10" t="s">
        <v>45</v>
      </c>
      <c r="E5" s="5" t="s">
        <v>46</v>
      </c>
      <c r="F5" s="4" t="s">
        <v>47</v>
      </c>
      <c r="G5" s="4" t="s">
        <v>48</v>
      </c>
      <c r="H5" s="10"/>
      <c r="I5" s="5" t="str">
        <f aca="false">"SA"&amp;"xx"&amp;B5</f>
        <v>SAxx05</v>
      </c>
      <c r="J5" s="11" t="s">
        <v>21</v>
      </c>
      <c r="K5" s="5" t="str">
        <f aca="false">IF(LEN(J5)&lt;&gt;18,"طول خاطئ",TEXT(98-MOD(VALUE(MOD(VALUE(MOD(VALUE(MOD(VALUE(MID(N5,1,9)),97)&amp;MID(N5,10,7)),97)&amp;MID(N5,17,7)),97)&amp;MID(N5,24,7)),97),"00"))</f>
        <v>02</v>
      </c>
      <c r="L5" s="5" t="str">
        <f aca="false">IF(LEN(J5)&lt;&gt;18,"","SA"&amp;K5&amp;" "&amp;MID(B5&amp;J5,1,4)&amp;" "&amp;MID(B5&amp;J5,5,4)&amp;" "&amp;MID(B5&amp;J5,9,4)&amp;" "&amp;MID(B5&amp;J5,13,4)&amp;" "&amp;MID(B5&amp;J5,17,4))</f>
        <v>SA02 0500 0000 6080 1016 7519</v>
      </c>
      <c r="M5" s="5" t="str">
        <f aca="false">IF(LEN(J5)&lt;&gt;18,"",IF(MOD(VALUE(MOD(VALUE(MOD(VALUE(MOD(VALUE(MID((B5&amp;J5&amp;"2810"&amp;K5),1,9)),97)&amp;MID((B5&amp;J5&amp;"2810"&amp;K5),10,7)),97)&amp;MID((B5&amp;J5&amp;"2810"&amp;K5),17,7)),97)&amp;MID((B5&amp;J5&amp;"2810"&amp;K5),24,7)),97)=1,"صحيح ✓","خطأ"))</f>
        <v>صحيح ✓</v>
      </c>
      <c r="N5" s="12" t="str">
        <f aca="false">B5&amp;J5&amp;"281000"</f>
        <v>05000000608010167519281000</v>
      </c>
    </row>
    <row r="6" customFormat="false" ht="15" hidden="false" customHeight="false" outlineLevel="0" collapsed="false">
      <c r="A6" s="5" t="n">
        <v>2</v>
      </c>
      <c r="B6" s="9" t="s">
        <v>49</v>
      </c>
      <c r="C6" s="6" t="s">
        <v>50</v>
      </c>
      <c r="D6" s="10" t="s">
        <v>51</v>
      </c>
      <c r="E6" s="5" t="s">
        <v>52</v>
      </c>
      <c r="F6" s="4" t="s">
        <v>47</v>
      </c>
      <c r="G6" s="4" t="s">
        <v>48</v>
      </c>
      <c r="H6" s="6" t="s">
        <v>53</v>
      </c>
      <c r="I6" s="5" t="str">
        <f aca="false">"SA"&amp;"xx"&amp;B6</f>
        <v>SAxx10</v>
      </c>
      <c r="J6" s="11" t="s">
        <v>21</v>
      </c>
      <c r="K6" s="5" t="str">
        <f aca="false">IF(LEN(J6)&lt;&gt;18,"طول خاطئ",TEXT(98-MOD(VALUE(MOD(VALUE(MOD(VALUE(MOD(VALUE(MID(N6,1,9)),97)&amp;MID(N6,10,7)),97)&amp;MID(N6,17,7)),97)&amp;MID(N6,24,7)),97),"00"))</f>
        <v>15</v>
      </c>
      <c r="L6" s="5" t="str">
        <f aca="false">IF(LEN(J6)&lt;&gt;18,"","SA"&amp;K6&amp;" "&amp;MID(B6&amp;J6,1,4)&amp;" "&amp;MID(B6&amp;J6,5,4)&amp;" "&amp;MID(B6&amp;J6,9,4)&amp;" "&amp;MID(B6&amp;J6,13,4)&amp;" "&amp;MID(B6&amp;J6,17,4))</f>
        <v>SA15 1000 0000 6080 1016 7519</v>
      </c>
      <c r="M6" s="5" t="str">
        <f aca="false">IF(LEN(J6)&lt;&gt;18,"",IF(MOD(VALUE(MOD(VALUE(MOD(VALUE(MOD(VALUE(MID((B6&amp;J6&amp;"2810"&amp;K6),1,9)),97)&amp;MID((B6&amp;J6&amp;"2810"&amp;K6),10,7)),97)&amp;MID((B6&amp;J6&amp;"2810"&amp;K6),17,7)),97)&amp;MID((B6&amp;J6&amp;"2810"&amp;K6),24,7)),97)=1,"صحيح ✓","خطأ"))</f>
        <v>صحيح ✓</v>
      </c>
      <c r="N6" s="12" t="str">
        <f aca="false">B6&amp;J6&amp;"281000"</f>
        <v>10000000608010167519281000</v>
      </c>
    </row>
    <row r="7" customFormat="false" ht="15" hidden="false" customHeight="false" outlineLevel="0" collapsed="false">
      <c r="A7" s="5" t="n">
        <v>3</v>
      </c>
      <c r="B7" s="9" t="s">
        <v>54</v>
      </c>
      <c r="C7" s="6" t="s">
        <v>55</v>
      </c>
      <c r="D7" s="10" t="s">
        <v>56</v>
      </c>
      <c r="E7" s="5" t="s">
        <v>57</v>
      </c>
      <c r="F7" s="4" t="s">
        <v>47</v>
      </c>
      <c r="G7" s="4" t="s">
        <v>48</v>
      </c>
      <c r="H7" s="10"/>
      <c r="I7" s="5" t="str">
        <f aca="false">"SA"&amp;"xx"&amp;B7</f>
        <v>SAxx15</v>
      </c>
      <c r="J7" s="11" t="s">
        <v>21</v>
      </c>
      <c r="K7" s="5" t="str">
        <f aca="false">IF(LEN(J7)&lt;&gt;18,"طول خاطئ",TEXT(98-MOD(VALUE(MOD(VALUE(MOD(VALUE(MOD(VALUE(MID(N7,1,9)),97)&amp;MID(N7,10,7)),97)&amp;MID(N7,17,7)),97)&amp;MID(N7,24,7)),97),"00"))</f>
        <v>28</v>
      </c>
      <c r="L7" s="5" t="str">
        <f aca="false">IF(LEN(J7)&lt;&gt;18,"","SA"&amp;K7&amp;" "&amp;MID(B7&amp;J7,1,4)&amp;" "&amp;MID(B7&amp;J7,5,4)&amp;" "&amp;MID(B7&amp;J7,9,4)&amp;" "&amp;MID(B7&amp;J7,13,4)&amp;" "&amp;MID(B7&amp;J7,17,4))</f>
        <v>SA28 1500 0000 6080 1016 7519</v>
      </c>
      <c r="M7" s="5" t="str">
        <f aca="false">IF(LEN(J7)&lt;&gt;18,"",IF(MOD(VALUE(MOD(VALUE(MOD(VALUE(MOD(VALUE(MID((B7&amp;J7&amp;"2810"&amp;K7),1,9)),97)&amp;MID((B7&amp;J7&amp;"2810"&amp;K7),10,7)),97)&amp;MID((B7&amp;J7&amp;"2810"&amp;K7),17,7)),97)&amp;MID((B7&amp;J7&amp;"2810"&amp;K7),24,7)),97)=1,"صحيح ✓","خطأ"))</f>
        <v>صحيح ✓</v>
      </c>
      <c r="N7" s="12" t="str">
        <f aca="false">B7&amp;J7&amp;"281000"</f>
        <v>15000000608010167519281000</v>
      </c>
    </row>
    <row r="8" customFormat="false" ht="15" hidden="false" customHeight="false" outlineLevel="0" collapsed="false">
      <c r="A8" s="5" t="n">
        <v>4</v>
      </c>
      <c r="B8" s="9" t="s">
        <v>58</v>
      </c>
      <c r="C8" s="6" t="s">
        <v>59</v>
      </c>
      <c r="D8" s="10" t="s">
        <v>60</v>
      </c>
      <c r="E8" s="5" t="s">
        <v>61</v>
      </c>
      <c r="F8" s="4" t="s">
        <v>47</v>
      </c>
      <c r="G8" s="4" t="s">
        <v>48</v>
      </c>
      <c r="H8" s="10"/>
      <c r="I8" s="5" t="str">
        <f aca="false">"SA"&amp;"xx"&amp;B8</f>
        <v>SAxx20</v>
      </c>
      <c r="J8" s="11" t="s">
        <v>21</v>
      </c>
      <c r="K8" s="5" t="str">
        <f aca="false">IF(LEN(J8)&lt;&gt;18,"طول خاطئ",TEXT(98-MOD(VALUE(MOD(VALUE(MOD(VALUE(MOD(VALUE(MID(N8,1,9)),97)&amp;MID(N8,10,7)),97)&amp;MID(N8,17,7)),97)&amp;MID(N8,24,7)),97),"00"))</f>
        <v>41</v>
      </c>
      <c r="L8" s="5" t="str">
        <f aca="false">IF(LEN(J8)&lt;&gt;18,"","SA"&amp;K8&amp;" "&amp;MID(B8&amp;J8,1,4)&amp;" "&amp;MID(B8&amp;J8,5,4)&amp;" "&amp;MID(B8&amp;J8,9,4)&amp;" "&amp;MID(B8&amp;J8,13,4)&amp;" "&amp;MID(B8&amp;J8,17,4))</f>
        <v>SA41 2000 0000 6080 1016 7519</v>
      </c>
      <c r="M8" s="5" t="str">
        <f aca="false">IF(LEN(J8)&lt;&gt;18,"",IF(MOD(VALUE(MOD(VALUE(MOD(VALUE(MOD(VALUE(MID((B8&amp;J8&amp;"2810"&amp;K8),1,9)),97)&amp;MID((B8&amp;J8&amp;"2810"&amp;K8),10,7)),97)&amp;MID((B8&amp;J8&amp;"2810"&amp;K8),17,7)),97)&amp;MID((B8&amp;J8&amp;"2810"&amp;K8),24,7)),97)=1,"صحيح ✓","خطأ"))</f>
        <v>صحيح ✓</v>
      </c>
      <c r="N8" s="12" t="str">
        <f aca="false">B8&amp;J8&amp;"281000"</f>
        <v>20000000608010167519281000</v>
      </c>
    </row>
    <row r="9" customFormat="false" ht="15" hidden="false" customHeight="false" outlineLevel="0" collapsed="false">
      <c r="A9" s="5" t="n">
        <v>5</v>
      </c>
      <c r="B9" s="9" t="s">
        <v>62</v>
      </c>
      <c r="C9" s="6" t="s">
        <v>63</v>
      </c>
      <c r="D9" s="10" t="s">
        <v>64</v>
      </c>
      <c r="E9" s="5" t="s">
        <v>65</v>
      </c>
      <c r="F9" s="4" t="s">
        <v>47</v>
      </c>
      <c r="G9" s="4" t="s">
        <v>48</v>
      </c>
      <c r="H9" s="10"/>
      <c r="I9" s="5" t="str">
        <f aca="false">"SA"&amp;"xx"&amp;B9</f>
        <v>SAxx30</v>
      </c>
      <c r="J9" s="11" t="s">
        <v>21</v>
      </c>
      <c r="K9" s="5" t="str">
        <f aca="false">IF(LEN(J9)&lt;&gt;18,"طول خاطئ",TEXT(98-MOD(VALUE(MOD(VALUE(MOD(VALUE(MOD(VALUE(MID(N9,1,9)),97)&amp;MID(N9,10,7)),97)&amp;MID(N9,17,7)),97)&amp;MID(N9,24,7)),97),"00"))</f>
        <v>67</v>
      </c>
      <c r="L9" s="5" t="str">
        <f aca="false">IF(LEN(J9)&lt;&gt;18,"","SA"&amp;K9&amp;" "&amp;MID(B9&amp;J9,1,4)&amp;" "&amp;MID(B9&amp;J9,5,4)&amp;" "&amp;MID(B9&amp;J9,9,4)&amp;" "&amp;MID(B9&amp;J9,13,4)&amp;" "&amp;MID(B9&amp;J9,17,4))</f>
        <v>SA67 3000 0000 6080 1016 7519</v>
      </c>
      <c r="M9" s="5" t="str">
        <f aca="false">IF(LEN(J9)&lt;&gt;18,"",IF(MOD(VALUE(MOD(VALUE(MOD(VALUE(MOD(VALUE(MID((B9&amp;J9&amp;"2810"&amp;K9),1,9)),97)&amp;MID((B9&amp;J9&amp;"2810"&amp;K9),10,7)),97)&amp;MID((B9&amp;J9&amp;"2810"&amp;K9),17,7)),97)&amp;MID((B9&amp;J9&amp;"2810"&amp;K9),24,7)),97)=1,"صحيح ✓","خطأ"))</f>
        <v>صحيح ✓</v>
      </c>
      <c r="N9" s="12" t="str">
        <f aca="false">B9&amp;J9&amp;"281000"</f>
        <v>30000000608010167519281000</v>
      </c>
    </row>
    <row r="10" customFormat="false" ht="37.3" hidden="false" customHeight="false" outlineLevel="0" collapsed="false">
      <c r="A10" s="5" t="n">
        <v>6</v>
      </c>
      <c r="B10" s="9" t="s">
        <v>66</v>
      </c>
      <c r="C10" s="6" t="s">
        <v>67</v>
      </c>
      <c r="D10" s="10" t="s">
        <v>68</v>
      </c>
      <c r="E10" s="5" t="s">
        <v>69</v>
      </c>
      <c r="F10" s="4" t="s">
        <v>47</v>
      </c>
      <c r="G10" s="4" t="s">
        <v>70</v>
      </c>
      <c r="H10" s="6" t="s">
        <v>71</v>
      </c>
      <c r="I10" s="5" t="str">
        <f aca="false">"SA"&amp;"xx"&amp;B10</f>
        <v>SAxx36</v>
      </c>
      <c r="J10" s="11" t="s">
        <v>21</v>
      </c>
      <c r="K10" s="5" t="str">
        <f aca="false">IF(LEN(J10)&lt;&gt;18,"طول خاطئ",TEXT(98-MOD(VALUE(MOD(VALUE(MOD(VALUE(MOD(VALUE(MID(N10,1,9)),97)&amp;MID(N10,10,7)),97)&amp;MID(N10,17,7)),97)&amp;MID(N10,24,7)),97),"00"))</f>
        <v>05</v>
      </c>
      <c r="L10" s="5" t="str">
        <f aca="false">IF(LEN(J10)&lt;&gt;18,"","SA"&amp;K10&amp;" "&amp;MID(B10&amp;J10,1,4)&amp;" "&amp;MID(B10&amp;J10,5,4)&amp;" "&amp;MID(B10&amp;J10,9,4)&amp;" "&amp;MID(B10&amp;J10,13,4)&amp;" "&amp;MID(B10&amp;J10,17,4))</f>
        <v>SA05 3600 0000 6080 1016 7519</v>
      </c>
      <c r="M10" s="5" t="str">
        <f aca="false">IF(LEN(J10)&lt;&gt;18,"",IF(MOD(VALUE(MOD(VALUE(MOD(VALUE(MOD(VALUE(MID((B10&amp;J10&amp;"2810"&amp;K10),1,9)),97)&amp;MID((B10&amp;J10&amp;"2810"&amp;K10),10,7)),97)&amp;MID((B10&amp;J10&amp;"2810"&amp;K10),17,7)),97)&amp;MID((B10&amp;J10&amp;"2810"&amp;K10),24,7)),97)=1,"صحيح ✓","خطأ"))</f>
        <v>صحيح ✓</v>
      </c>
      <c r="N10" s="12" t="str">
        <f aca="false">B10&amp;J10&amp;"281000"</f>
        <v>36000000608010167519281000</v>
      </c>
    </row>
    <row r="11" customFormat="false" ht="23.85" hidden="false" customHeight="false" outlineLevel="0" collapsed="false">
      <c r="A11" s="13" t="n">
        <v>7</v>
      </c>
      <c r="B11" s="14" t="s">
        <v>72</v>
      </c>
      <c r="C11" s="15" t="s">
        <v>73</v>
      </c>
      <c r="D11" s="15" t="s">
        <v>74</v>
      </c>
      <c r="E11" s="13" t="s">
        <v>75</v>
      </c>
      <c r="F11" s="13" t="s">
        <v>76</v>
      </c>
      <c r="G11" s="13" t="s">
        <v>77</v>
      </c>
      <c r="H11" s="15" t="s">
        <v>78</v>
      </c>
      <c r="I11" s="5" t="str">
        <f aca="false">"SA"&amp;"xx"&amp;B11</f>
        <v>SAxx40</v>
      </c>
      <c r="J11" s="11" t="s">
        <v>21</v>
      </c>
      <c r="K11" s="5" t="str">
        <f aca="false">IF(LEN(J11)&lt;&gt;18,"طول خاطئ",TEXT(98-MOD(VALUE(MOD(VALUE(MOD(VALUE(MOD(VALUE(MID(N11,1,9)),97)&amp;MID(N11,10,7)),97)&amp;MID(N11,17,7)),97)&amp;MID(N11,24,7)),97),"00"))</f>
        <v>93</v>
      </c>
      <c r="L11" s="5" t="str">
        <f aca="false">IF(LEN(J11)&lt;&gt;18,"","SA"&amp;K11&amp;" "&amp;MID(B11&amp;J11,1,4)&amp;" "&amp;MID(B11&amp;J11,5,4)&amp;" "&amp;MID(B11&amp;J11,9,4)&amp;" "&amp;MID(B11&amp;J11,13,4)&amp;" "&amp;MID(B11&amp;J11,17,4))</f>
        <v>SA93 4000 0000 6080 1016 7519</v>
      </c>
      <c r="M11" s="5" t="str">
        <f aca="false">IF(LEN(J11)&lt;&gt;18,"",IF(MOD(VALUE(MOD(VALUE(MOD(VALUE(MOD(VALUE(MID((B11&amp;J11&amp;"2810"&amp;K11),1,9)),97)&amp;MID((B11&amp;J11&amp;"2810"&amp;K11),10,7)),97)&amp;MID((B11&amp;J11&amp;"2810"&amp;K11),17,7)),97)&amp;MID((B11&amp;J11&amp;"2810"&amp;K11),24,7)),97)=1,"صحيح ✓","خطأ"))</f>
        <v>صحيح ✓</v>
      </c>
      <c r="N11" s="12" t="str">
        <f aca="false">B11&amp;J11&amp;"281000"</f>
        <v>40000000608010167519281000</v>
      </c>
    </row>
    <row r="12" customFormat="false" ht="28.35" hidden="false" customHeight="false" outlineLevel="0" collapsed="false">
      <c r="A12" s="5" t="n">
        <v>8</v>
      </c>
      <c r="B12" s="9" t="s">
        <v>79</v>
      </c>
      <c r="C12" s="6" t="s">
        <v>80</v>
      </c>
      <c r="D12" s="10" t="s">
        <v>81</v>
      </c>
      <c r="E12" s="5" t="s">
        <v>82</v>
      </c>
      <c r="F12" s="4" t="s">
        <v>47</v>
      </c>
      <c r="G12" s="4" t="s">
        <v>48</v>
      </c>
      <c r="H12" s="10"/>
      <c r="I12" s="5" t="str">
        <f aca="false">"SA"&amp;"xx"&amp;B12</f>
        <v>SAxx45</v>
      </c>
      <c r="J12" s="11" t="s">
        <v>21</v>
      </c>
      <c r="K12" s="5" t="str">
        <f aca="false">IF(LEN(J12)&lt;&gt;18,"طول خاطئ",TEXT(98-MOD(VALUE(MOD(VALUE(MOD(VALUE(MOD(VALUE(MID(N12,1,9)),97)&amp;MID(N12,10,7)),97)&amp;MID(N12,17,7)),97)&amp;MID(N12,24,7)),97),"00"))</f>
        <v>09</v>
      </c>
      <c r="L12" s="5" t="str">
        <f aca="false">IF(LEN(J12)&lt;&gt;18,"","SA"&amp;K12&amp;" "&amp;MID(B12&amp;J12,1,4)&amp;" "&amp;MID(B12&amp;J12,5,4)&amp;" "&amp;MID(B12&amp;J12,9,4)&amp;" "&amp;MID(B12&amp;J12,13,4)&amp;" "&amp;MID(B12&amp;J12,17,4))</f>
        <v>SA09 4500 0000 6080 1016 7519</v>
      </c>
      <c r="M12" s="5" t="str">
        <f aca="false">IF(LEN(J12)&lt;&gt;18,"",IF(MOD(VALUE(MOD(VALUE(MOD(VALUE(MOD(VALUE(MID((B12&amp;J12&amp;"2810"&amp;K12),1,9)),97)&amp;MID((B12&amp;J12&amp;"2810"&amp;K12),10,7)),97)&amp;MID((B12&amp;J12&amp;"2810"&amp;K12),17,7)),97)&amp;MID((B12&amp;J12&amp;"2810"&amp;K12),24,7)),97)=1,"صحيح ✓","خطأ"))</f>
        <v>صحيح ✓</v>
      </c>
      <c r="N12" s="12" t="str">
        <f aca="false">B12&amp;J12&amp;"281000"</f>
        <v>45000000608010167519281000</v>
      </c>
    </row>
    <row r="13" customFormat="false" ht="15" hidden="false" customHeight="false" outlineLevel="0" collapsed="false">
      <c r="A13" s="13" t="n">
        <v>9</v>
      </c>
      <c r="B13" s="14" t="s">
        <v>83</v>
      </c>
      <c r="C13" s="15" t="s">
        <v>84</v>
      </c>
      <c r="D13" s="15" t="s">
        <v>85</v>
      </c>
      <c r="E13" s="13" t="s">
        <v>86</v>
      </c>
      <c r="F13" s="13" t="s">
        <v>87</v>
      </c>
      <c r="G13" s="13" t="s">
        <v>77</v>
      </c>
      <c r="H13" s="15" t="s">
        <v>88</v>
      </c>
      <c r="I13" s="5" t="str">
        <f aca="false">"SA"&amp;"xx"&amp;B13</f>
        <v>SAxx50</v>
      </c>
      <c r="J13" s="11" t="s">
        <v>21</v>
      </c>
      <c r="K13" s="5" t="str">
        <f aca="false">IF(LEN(J13)&lt;&gt;18,"طول خاطئ",TEXT(98-MOD(VALUE(MOD(VALUE(MOD(VALUE(MOD(VALUE(MID(N13,1,9)),97)&amp;MID(N13,10,7)),97)&amp;MID(N13,17,7)),97)&amp;MID(N13,24,7)),97),"00"))</f>
        <v>22</v>
      </c>
      <c r="L13" s="5" t="str">
        <f aca="false">IF(LEN(J13)&lt;&gt;18,"","SA"&amp;K13&amp;" "&amp;MID(B13&amp;J13,1,4)&amp;" "&amp;MID(B13&amp;J13,5,4)&amp;" "&amp;MID(B13&amp;J13,9,4)&amp;" "&amp;MID(B13&amp;J13,13,4)&amp;" "&amp;MID(B13&amp;J13,17,4))</f>
        <v>SA22 5000 0000 6080 1016 7519</v>
      </c>
      <c r="M13" s="5" t="str">
        <f aca="false">IF(LEN(J13)&lt;&gt;18,"",IF(MOD(VALUE(MOD(VALUE(MOD(VALUE(MOD(VALUE(MID((B13&amp;J13&amp;"2810"&amp;K13),1,9)),97)&amp;MID((B13&amp;J13&amp;"2810"&amp;K13),10,7)),97)&amp;MID((B13&amp;J13&amp;"2810"&amp;K13),17,7)),97)&amp;MID((B13&amp;J13&amp;"2810"&amp;K13),24,7)),97)=1,"صحيح ✓","خطأ"))</f>
        <v>صحيح ✓</v>
      </c>
      <c r="N13" s="12" t="str">
        <f aca="false">B13&amp;J13&amp;"281000"</f>
        <v>50000000608010167519281000</v>
      </c>
    </row>
    <row r="14" customFormat="false" ht="15" hidden="false" customHeight="false" outlineLevel="0" collapsed="false">
      <c r="A14" s="5" t="n">
        <v>10</v>
      </c>
      <c r="B14" s="9" t="s">
        <v>89</v>
      </c>
      <c r="C14" s="6" t="s">
        <v>90</v>
      </c>
      <c r="D14" s="10" t="s">
        <v>91</v>
      </c>
      <c r="E14" s="5" t="s">
        <v>92</v>
      </c>
      <c r="F14" s="4" t="s">
        <v>47</v>
      </c>
      <c r="G14" s="4" t="s">
        <v>48</v>
      </c>
      <c r="H14" s="10"/>
      <c r="I14" s="5" t="str">
        <f aca="false">"SA"&amp;"xx"&amp;B14</f>
        <v>SAxx55</v>
      </c>
      <c r="J14" s="11" t="s">
        <v>21</v>
      </c>
      <c r="K14" s="5" t="str">
        <f aca="false">IF(LEN(J14)&lt;&gt;18,"طول خاطئ",TEXT(98-MOD(VALUE(MOD(VALUE(MOD(VALUE(MOD(VALUE(MID(N14,1,9)),97)&amp;MID(N14,10,7)),97)&amp;MID(N14,17,7)),97)&amp;MID(N14,24,7)),97),"00"))</f>
        <v>35</v>
      </c>
      <c r="L14" s="5" t="str">
        <f aca="false">IF(LEN(J14)&lt;&gt;18,"","SA"&amp;K14&amp;" "&amp;MID(B14&amp;J14,1,4)&amp;" "&amp;MID(B14&amp;J14,5,4)&amp;" "&amp;MID(B14&amp;J14,9,4)&amp;" "&amp;MID(B14&amp;J14,13,4)&amp;" "&amp;MID(B14&amp;J14,17,4))</f>
        <v>SA35 5500 0000 6080 1016 7519</v>
      </c>
      <c r="M14" s="5" t="str">
        <f aca="false">IF(LEN(J14)&lt;&gt;18,"",IF(MOD(VALUE(MOD(VALUE(MOD(VALUE(MOD(VALUE(MID((B14&amp;J14&amp;"2810"&amp;K14),1,9)),97)&amp;MID((B14&amp;J14&amp;"2810"&amp;K14),10,7)),97)&amp;MID((B14&amp;J14&amp;"2810"&amp;K14),17,7)),97)&amp;MID((B14&amp;J14&amp;"2810"&amp;K14),24,7)),97)=1,"صحيح ✓","خطأ"))</f>
        <v>صحيح ✓</v>
      </c>
      <c r="N14" s="12" t="str">
        <f aca="false">B14&amp;J14&amp;"281000"</f>
        <v>55000000608010167519281000</v>
      </c>
    </row>
    <row r="15" customFormat="false" ht="15" hidden="false" customHeight="false" outlineLevel="0" collapsed="false">
      <c r="A15" s="5" t="n">
        <v>11</v>
      </c>
      <c r="B15" s="9" t="s">
        <v>93</v>
      </c>
      <c r="C15" s="6" t="s">
        <v>94</v>
      </c>
      <c r="D15" s="10" t="s">
        <v>95</v>
      </c>
      <c r="E15" s="5" t="s">
        <v>96</v>
      </c>
      <c r="F15" s="4" t="s">
        <v>47</v>
      </c>
      <c r="G15" s="4" t="s">
        <v>48</v>
      </c>
      <c r="H15" s="10"/>
      <c r="I15" s="5" t="str">
        <f aca="false">"SA"&amp;"xx"&amp;B15</f>
        <v>SAxx60</v>
      </c>
      <c r="J15" s="11" t="s">
        <v>21</v>
      </c>
      <c r="K15" s="5" t="str">
        <f aca="false">IF(LEN(J15)&lt;&gt;18,"طول خاطئ",TEXT(98-MOD(VALUE(MOD(VALUE(MOD(VALUE(MOD(VALUE(MID(N15,1,9)),97)&amp;MID(N15,10,7)),97)&amp;MID(N15,17,7)),97)&amp;MID(N15,24,7)),97),"00"))</f>
        <v>48</v>
      </c>
      <c r="L15" s="5" t="str">
        <f aca="false">IF(LEN(J15)&lt;&gt;18,"","SA"&amp;K15&amp;" "&amp;MID(B15&amp;J15,1,4)&amp;" "&amp;MID(B15&amp;J15,5,4)&amp;" "&amp;MID(B15&amp;J15,9,4)&amp;" "&amp;MID(B15&amp;J15,13,4)&amp;" "&amp;MID(B15&amp;J15,17,4))</f>
        <v>SA48 6000 0000 6080 1016 7519</v>
      </c>
      <c r="M15" s="5" t="str">
        <f aca="false">IF(LEN(J15)&lt;&gt;18,"",IF(MOD(VALUE(MOD(VALUE(MOD(VALUE(MOD(VALUE(MID((B15&amp;J15&amp;"2810"&amp;K15),1,9)),97)&amp;MID((B15&amp;J15&amp;"2810"&amp;K15),10,7)),97)&amp;MID((B15&amp;J15&amp;"2810"&amp;K15),17,7)),97)&amp;MID((B15&amp;J15&amp;"2810"&amp;K15),24,7)),97)=1,"صحيح ✓","خطأ"))</f>
        <v>صحيح ✓</v>
      </c>
      <c r="N15" s="12" t="str">
        <f aca="false">B15&amp;J15&amp;"281000"</f>
        <v>60000000608010167519281000</v>
      </c>
    </row>
    <row r="16" customFormat="false" ht="15" hidden="false" customHeight="false" outlineLevel="0" collapsed="false">
      <c r="A16" s="5" t="n">
        <v>12</v>
      </c>
      <c r="B16" s="9" t="s">
        <v>97</v>
      </c>
      <c r="C16" s="6" t="s">
        <v>98</v>
      </c>
      <c r="D16" s="10" t="s">
        <v>99</v>
      </c>
      <c r="E16" s="5" t="s">
        <v>100</v>
      </c>
      <c r="F16" s="4" t="s">
        <v>47</v>
      </c>
      <c r="G16" s="4" t="s">
        <v>48</v>
      </c>
      <c r="H16" s="10"/>
      <c r="I16" s="5" t="str">
        <f aca="false">"SA"&amp;"xx"&amp;B16</f>
        <v>SAxx65</v>
      </c>
      <c r="J16" s="11" t="s">
        <v>21</v>
      </c>
      <c r="K16" s="5" t="str">
        <f aca="false">IF(LEN(J16)&lt;&gt;18,"طول خاطئ",TEXT(98-MOD(VALUE(MOD(VALUE(MOD(VALUE(MOD(VALUE(MID(N16,1,9)),97)&amp;MID(N16,10,7)),97)&amp;MID(N16,17,7)),97)&amp;MID(N16,24,7)),97),"00"))</f>
        <v>61</v>
      </c>
      <c r="L16" s="5" t="str">
        <f aca="false">IF(LEN(J16)&lt;&gt;18,"","SA"&amp;K16&amp;" "&amp;MID(B16&amp;J16,1,4)&amp;" "&amp;MID(B16&amp;J16,5,4)&amp;" "&amp;MID(B16&amp;J16,9,4)&amp;" "&amp;MID(B16&amp;J16,13,4)&amp;" "&amp;MID(B16&amp;J16,17,4))</f>
        <v>SA61 6500 0000 6080 1016 7519</v>
      </c>
      <c r="M16" s="5" t="str">
        <f aca="false">IF(LEN(J16)&lt;&gt;18,"",IF(MOD(VALUE(MOD(VALUE(MOD(VALUE(MOD(VALUE(MID((B16&amp;J16&amp;"2810"&amp;K16),1,9)),97)&amp;MID((B16&amp;J16&amp;"2810"&amp;K16),10,7)),97)&amp;MID((B16&amp;J16&amp;"2810"&amp;K16),17,7)),97)&amp;MID((B16&amp;J16&amp;"2810"&amp;K16),24,7)),97)=1,"صحيح ✓","خطأ"))</f>
        <v>صحيح ✓</v>
      </c>
      <c r="N16" s="12" t="str">
        <f aca="false">B16&amp;J16&amp;"281000"</f>
        <v>65000000608010167519281000</v>
      </c>
    </row>
    <row r="17" customFormat="false" ht="15" hidden="false" customHeight="false" outlineLevel="0" collapsed="false">
      <c r="A17" s="5" t="n">
        <v>13</v>
      </c>
      <c r="B17" s="9" t="s">
        <v>101</v>
      </c>
      <c r="C17" s="6" t="s">
        <v>102</v>
      </c>
      <c r="D17" s="10" t="s">
        <v>103</v>
      </c>
      <c r="E17" s="5" t="s">
        <v>104</v>
      </c>
      <c r="F17" s="4" t="s">
        <v>105</v>
      </c>
      <c r="G17" s="4" t="s">
        <v>106</v>
      </c>
      <c r="H17" s="10"/>
      <c r="I17" s="5" t="str">
        <f aca="false">"SA"&amp;"xx"&amp;B17</f>
        <v>SAxx71</v>
      </c>
      <c r="J17" s="11" t="s">
        <v>21</v>
      </c>
      <c r="K17" s="5" t="str">
        <f aca="false">IF(LEN(J17)&lt;&gt;18,"طول خاطئ",TEXT(98-MOD(VALUE(MOD(VALUE(MOD(VALUE(MOD(VALUE(MID(N17,1,9)),97)&amp;MID(N17,10,7)),97)&amp;MID(N17,17,7)),97)&amp;MID(N17,24,7)),97),"00"))</f>
        <v>96</v>
      </c>
      <c r="L17" s="5" t="str">
        <f aca="false">IF(LEN(J17)&lt;&gt;18,"","SA"&amp;K17&amp;" "&amp;MID(B17&amp;J17,1,4)&amp;" "&amp;MID(B17&amp;J17,5,4)&amp;" "&amp;MID(B17&amp;J17,9,4)&amp;" "&amp;MID(B17&amp;J17,13,4)&amp;" "&amp;MID(B17&amp;J17,17,4))</f>
        <v>SA96 7100 0000 6080 1016 7519</v>
      </c>
      <c r="M17" s="5" t="str">
        <f aca="false">IF(LEN(J17)&lt;&gt;18,"",IF(MOD(VALUE(MOD(VALUE(MOD(VALUE(MOD(VALUE(MID((B17&amp;J17&amp;"2810"&amp;K17),1,9)),97)&amp;MID((B17&amp;J17&amp;"2810"&amp;K17),10,7)),97)&amp;MID((B17&amp;J17&amp;"2810"&amp;K17),17,7)),97)&amp;MID((B17&amp;J17&amp;"2810"&amp;K17),24,7)),97)=1,"صحيح ✓","خطأ"))</f>
        <v>صحيح ✓</v>
      </c>
      <c r="N17" s="12" t="str">
        <f aca="false">B17&amp;J17&amp;"281000"</f>
        <v>71000000608010167519281000</v>
      </c>
    </row>
    <row r="18" customFormat="false" ht="37.3" hidden="false" customHeight="false" outlineLevel="0" collapsed="false">
      <c r="A18" s="5" t="n">
        <v>14</v>
      </c>
      <c r="B18" s="9" t="s">
        <v>107</v>
      </c>
      <c r="C18" s="6" t="s">
        <v>108</v>
      </c>
      <c r="D18" s="10" t="s">
        <v>109</v>
      </c>
      <c r="E18" s="5" t="s">
        <v>110</v>
      </c>
      <c r="F18" s="4" t="s">
        <v>111</v>
      </c>
      <c r="G18" s="4" t="s">
        <v>106</v>
      </c>
      <c r="H18" s="6" t="s">
        <v>112</v>
      </c>
      <c r="I18" s="5" t="str">
        <f aca="false">"SA"&amp;"xx"&amp;B18</f>
        <v>SAxx73</v>
      </c>
      <c r="J18" s="11" t="s">
        <v>21</v>
      </c>
      <c r="K18" s="5" t="str">
        <f aca="false">IF(LEN(J18)&lt;&gt;18,"طول خاطئ",TEXT(98-MOD(VALUE(MOD(VALUE(MOD(VALUE(MOD(VALUE(MID(N18,1,9)),97)&amp;MID(N18,10,7)),97)&amp;MID(N18,17,7)),97)&amp;MID(N18,24,7)),97),"00"))</f>
        <v>43</v>
      </c>
      <c r="L18" s="5" t="str">
        <f aca="false">IF(LEN(J18)&lt;&gt;18,"","SA"&amp;K18&amp;" "&amp;MID(B18&amp;J18,1,4)&amp;" "&amp;MID(B18&amp;J18,5,4)&amp;" "&amp;MID(B18&amp;J18,9,4)&amp;" "&amp;MID(B18&amp;J18,13,4)&amp;" "&amp;MID(B18&amp;J18,17,4))</f>
        <v>SA43 7300 0000 6080 1016 7519</v>
      </c>
      <c r="M18" s="5" t="str">
        <f aca="false">IF(LEN(J18)&lt;&gt;18,"",IF(MOD(VALUE(MOD(VALUE(MOD(VALUE(MOD(VALUE(MID((B18&amp;J18&amp;"2810"&amp;K18),1,9)),97)&amp;MID((B18&amp;J18&amp;"2810"&amp;K18),10,7)),97)&amp;MID((B18&amp;J18&amp;"2810"&amp;K18),17,7)),97)&amp;MID((B18&amp;J18&amp;"2810"&amp;K18),24,7)),97)=1,"صحيح ✓","خطأ"))</f>
        <v>صحيح ✓</v>
      </c>
      <c r="N18" s="12" t="str">
        <f aca="false">B18&amp;J18&amp;"281000"</f>
        <v>73000000608010167519281000</v>
      </c>
    </row>
    <row r="19" customFormat="false" ht="23.85" hidden="false" customHeight="false" outlineLevel="0" collapsed="false">
      <c r="A19" s="5" t="n">
        <v>15</v>
      </c>
      <c r="B19" s="9" t="s">
        <v>113</v>
      </c>
      <c r="C19" s="6" t="s">
        <v>114</v>
      </c>
      <c r="D19" s="10" t="s">
        <v>115</v>
      </c>
      <c r="E19" s="5" t="s">
        <v>116</v>
      </c>
      <c r="F19" s="4" t="s">
        <v>111</v>
      </c>
      <c r="G19" s="4" t="s">
        <v>106</v>
      </c>
      <c r="H19" s="10"/>
      <c r="I19" s="5" t="str">
        <f aca="false">"SA"&amp;"xx"&amp;B19</f>
        <v>SAxx75</v>
      </c>
      <c r="J19" s="11" t="s">
        <v>21</v>
      </c>
      <c r="K19" s="5" t="str">
        <f aca="false">IF(LEN(J19)&lt;&gt;18,"طول خاطئ",TEXT(98-MOD(VALUE(MOD(VALUE(MOD(VALUE(MOD(VALUE(MID(N19,1,9)),97)&amp;MID(N19,10,7)),97)&amp;MID(N19,17,7)),97)&amp;MID(N19,24,7)),97),"00"))</f>
        <v>87</v>
      </c>
      <c r="L19" s="5" t="str">
        <f aca="false">IF(LEN(J19)&lt;&gt;18,"","SA"&amp;K19&amp;" "&amp;MID(B19&amp;J19,1,4)&amp;" "&amp;MID(B19&amp;J19,5,4)&amp;" "&amp;MID(B19&amp;J19,9,4)&amp;" "&amp;MID(B19&amp;J19,13,4)&amp;" "&amp;MID(B19&amp;J19,17,4))</f>
        <v>SA87 7500 0000 6080 1016 7519</v>
      </c>
      <c r="M19" s="5" t="str">
        <f aca="false">IF(LEN(J19)&lt;&gt;18,"",IF(MOD(VALUE(MOD(VALUE(MOD(VALUE(MOD(VALUE(MID((B19&amp;J19&amp;"2810"&amp;K19),1,9)),97)&amp;MID((B19&amp;J19&amp;"2810"&amp;K19),10,7)),97)&amp;MID((B19&amp;J19&amp;"2810"&amp;K19),17,7)),97)&amp;MID((B19&amp;J19&amp;"2810"&amp;K19),24,7)),97)=1,"صحيح ✓","خطأ"))</f>
        <v>صحيح ✓</v>
      </c>
      <c r="N19" s="12" t="str">
        <f aca="false">B19&amp;J19&amp;"281000"</f>
        <v>75000000608010167519281000</v>
      </c>
    </row>
    <row r="20" customFormat="false" ht="15" hidden="false" customHeight="false" outlineLevel="0" collapsed="false">
      <c r="A20" s="5" t="n">
        <v>16</v>
      </c>
      <c r="B20" s="9" t="s">
        <v>117</v>
      </c>
      <c r="C20" s="6" t="s">
        <v>118</v>
      </c>
      <c r="D20" s="10" t="s">
        <v>119</v>
      </c>
      <c r="E20" s="5" t="s">
        <v>120</v>
      </c>
      <c r="F20" s="4" t="s">
        <v>105</v>
      </c>
      <c r="G20" s="4" t="s">
        <v>106</v>
      </c>
      <c r="H20" s="10"/>
      <c r="I20" s="5" t="str">
        <f aca="false">"SA"&amp;"xx"&amp;B20</f>
        <v>SAxx76</v>
      </c>
      <c r="J20" s="11" t="s">
        <v>21</v>
      </c>
      <c r="K20" s="5" t="str">
        <f aca="false">IF(LEN(J20)&lt;&gt;18,"طول خاطئ",TEXT(98-MOD(VALUE(MOD(VALUE(MOD(VALUE(MOD(VALUE(MID(N20,1,9)),97)&amp;MID(N20,10,7)),97)&amp;MID(N20,17,7)),97)&amp;MID(N20,24,7)),97),"00"))</f>
        <v>12</v>
      </c>
      <c r="L20" s="5" t="str">
        <f aca="false">IF(LEN(J20)&lt;&gt;18,"","SA"&amp;K20&amp;" "&amp;MID(B20&amp;J20,1,4)&amp;" "&amp;MID(B20&amp;J20,5,4)&amp;" "&amp;MID(B20&amp;J20,9,4)&amp;" "&amp;MID(B20&amp;J20,13,4)&amp;" "&amp;MID(B20&amp;J20,17,4))</f>
        <v>SA12 7600 0000 6080 1016 7519</v>
      </c>
      <c r="M20" s="5" t="str">
        <f aca="false">IF(LEN(J20)&lt;&gt;18,"",IF(MOD(VALUE(MOD(VALUE(MOD(VALUE(MOD(VALUE(MID((B20&amp;J20&amp;"2810"&amp;K20),1,9)),97)&amp;MID((B20&amp;J20&amp;"2810"&amp;K20),10,7)),97)&amp;MID((B20&amp;J20&amp;"2810"&amp;K20),17,7)),97)&amp;MID((B20&amp;J20&amp;"2810"&amp;K20),24,7)),97)=1,"صحيح ✓","خطأ"))</f>
        <v>صحيح ✓</v>
      </c>
      <c r="N20" s="12" t="str">
        <f aca="false">B20&amp;J20&amp;"281000"</f>
        <v>76000000608010167519281000</v>
      </c>
    </row>
    <row r="21" customFormat="false" ht="39.55" hidden="false" customHeight="false" outlineLevel="0" collapsed="false">
      <c r="A21" s="5" t="n">
        <v>17</v>
      </c>
      <c r="B21" s="9" t="s">
        <v>121</v>
      </c>
      <c r="C21" s="6" t="s">
        <v>122</v>
      </c>
      <c r="D21" s="10" t="s">
        <v>123</v>
      </c>
      <c r="E21" s="5" t="s">
        <v>124</v>
      </c>
      <c r="F21" s="4" t="s">
        <v>47</v>
      </c>
      <c r="G21" s="4" t="s">
        <v>70</v>
      </c>
      <c r="H21" s="6" t="s">
        <v>125</v>
      </c>
      <c r="I21" s="5" t="str">
        <f aca="false">"SA"&amp;"xx"&amp;B21</f>
        <v>SAxx78</v>
      </c>
      <c r="J21" s="11" t="s">
        <v>21</v>
      </c>
      <c r="K21" s="5" t="str">
        <f aca="false">IF(LEN(J21)&lt;&gt;18,"طول خاطئ",TEXT(98-MOD(VALUE(MOD(VALUE(MOD(VALUE(MOD(VALUE(MID(N21,1,9)),97)&amp;MID(N21,10,7)),97)&amp;MID(N21,17,7)),97)&amp;MID(N21,24,7)),97),"00"))</f>
        <v>56</v>
      </c>
      <c r="L21" s="5" t="str">
        <f aca="false">IF(LEN(J21)&lt;&gt;18,"","SA"&amp;K21&amp;" "&amp;MID(B21&amp;J21,1,4)&amp;" "&amp;MID(B21&amp;J21,5,4)&amp;" "&amp;MID(B21&amp;J21,9,4)&amp;" "&amp;MID(B21&amp;J21,13,4)&amp;" "&amp;MID(B21&amp;J21,17,4))</f>
        <v>SA56 7800 0000 6080 1016 7519</v>
      </c>
      <c r="M21" s="5" t="str">
        <f aca="false">IF(LEN(J21)&lt;&gt;18,"",IF(MOD(VALUE(MOD(VALUE(MOD(VALUE(MOD(VALUE(MID((B21&amp;J21&amp;"2810"&amp;K21),1,9)),97)&amp;MID((B21&amp;J21&amp;"2810"&amp;K21),10,7)),97)&amp;MID((B21&amp;J21&amp;"2810"&amp;K21),17,7)),97)&amp;MID((B21&amp;J21&amp;"2810"&amp;K21),24,7)),97)=1,"صحيح ✓","خطأ"))</f>
        <v>صحيح ✓</v>
      </c>
      <c r="N21" s="12" t="str">
        <f aca="false">B21&amp;J21&amp;"281000"</f>
        <v>78000000608010167519281000</v>
      </c>
    </row>
    <row r="22" customFormat="false" ht="15" hidden="false" customHeight="false" outlineLevel="0" collapsed="false">
      <c r="A22" s="5" t="n">
        <v>18</v>
      </c>
      <c r="B22" s="9" t="s">
        <v>17</v>
      </c>
      <c r="C22" s="6" t="s">
        <v>126</v>
      </c>
      <c r="D22" s="10" t="s">
        <v>127</v>
      </c>
      <c r="E22" s="5" t="s">
        <v>128</v>
      </c>
      <c r="F22" s="4" t="s">
        <v>47</v>
      </c>
      <c r="G22" s="4" t="s">
        <v>48</v>
      </c>
      <c r="H22" s="10"/>
      <c r="I22" s="5" t="str">
        <f aca="false">"SA"&amp;"xx"&amp;B22</f>
        <v>SAxx80</v>
      </c>
      <c r="J22" s="11" t="s">
        <v>21</v>
      </c>
      <c r="K22" s="5" t="str">
        <f aca="false">IF(LEN(J22)&lt;&gt;18,"طول خاطئ",TEXT(98-MOD(VALUE(MOD(VALUE(MOD(VALUE(MOD(VALUE(MID(N22,1,9)),97)&amp;MID(N22,10,7)),97)&amp;MID(N22,17,7)),97)&amp;MID(N22,24,7)),97),"00"))</f>
        <v>03</v>
      </c>
      <c r="L22" s="5" t="str">
        <f aca="false">IF(LEN(J22)&lt;&gt;18,"","SA"&amp;K22&amp;" "&amp;MID(B22&amp;J22,1,4)&amp;" "&amp;MID(B22&amp;J22,5,4)&amp;" "&amp;MID(B22&amp;J22,9,4)&amp;" "&amp;MID(B22&amp;J22,13,4)&amp;" "&amp;MID(B22&amp;J22,17,4))</f>
        <v>SA03 8000 0000 6080 1016 7519</v>
      </c>
      <c r="M22" s="5" t="str">
        <f aca="false">IF(LEN(J22)&lt;&gt;18,"",IF(MOD(VALUE(MOD(VALUE(MOD(VALUE(MOD(VALUE(MID((B22&amp;J22&amp;"2810"&amp;K22),1,9)),97)&amp;MID((B22&amp;J22&amp;"2810"&amp;K22),10,7)),97)&amp;MID((B22&amp;J22&amp;"2810"&amp;K22),17,7)),97)&amp;MID((B22&amp;J22&amp;"2810"&amp;K22),24,7)),97)=1,"صحيح ✓","خطأ"))</f>
        <v>صحيح ✓</v>
      </c>
      <c r="N22" s="12" t="str">
        <f aca="false">B22&amp;J22&amp;"281000"</f>
        <v>80000000608010167519281000</v>
      </c>
    </row>
    <row r="23" customFormat="false" ht="15" hidden="false" customHeight="false" outlineLevel="0" collapsed="false">
      <c r="A23" s="5" t="n">
        <v>19</v>
      </c>
      <c r="B23" s="9" t="s">
        <v>129</v>
      </c>
      <c r="C23" s="6" t="s">
        <v>130</v>
      </c>
      <c r="D23" s="10" t="s">
        <v>131</v>
      </c>
      <c r="E23" s="5" t="s">
        <v>132</v>
      </c>
      <c r="F23" s="4" t="s">
        <v>105</v>
      </c>
      <c r="G23" s="4" t="s">
        <v>106</v>
      </c>
      <c r="H23" s="10"/>
      <c r="I23" s="5" t="str">
        <f aca="false">"SA"&amp;"xx"&amp;B23</f>
        <v>SAxx81</v>
      </c>
      <c r="J23" s="11" t="s">
        <v>21</v>
      </c>
      <c r="K23" s="5" t="str">
        <f aca="false">IF(LEN(J23)&lt;&gt;18,"طول خاطئ",TEXT(98-MOD(VALUE(MOD(VALUE(MOD(VALUE(MOD(VALUE(MID(N23,1,9)),97)&amp;MID(N23,10,7)),97)&amp;MID(N23,17,7)),97)&amp;MID(N23,24,7)),97),"00"))</f>
        <v>25</v>
      </c>
      <c r="L23" s="5" t="str">
        <f aca="false">IF(LEN(J23)&lt;&gt;18,"","SA"&amp;K23&amp;" "&amp;MID(B23&amp;J23,1,4)&amp;" "&amp;MID(B23&amp;J23,5,4)&amp;" "&amp;MID(B23&amp;J23,9,4)&amp;" "&amp;MID(B23&amp;J23,13,4)&amp;" "&amp;MID(B23&amp;J23,17,4))</f>
        <v>SA25 8100 0000 6080 1016 7519</v>
      </c>
      <c r="M23" s="5" t="str">
        <f aca="false">IF(LEN(J23)&lt;&gt;18,"",IF(MOD(VALUE(MOD(VALUE(MOD(VALUE(MOD(VALUE(MID((B23&amp;J23&amp;"2810"&amp;K23),1,9)),97)&amp;MID((B23&amp;J23&amp;"2810"&amp;K23),10,7)),97)&amp;MID((B23&amp;J23&amp;"2810"&amp;K23),17,7)),97)&amp;MID((B23&amp;J23&amp;"2810"&amp;K23),24,7)),97)=1,"صحيح ✓","خطأ"))</f>
        <v>صحيح ✓</v>
      </c>
      <c r="N23" s="12" t="str">
        <f aca="false">B23&amp;J23&amp;"281000"</f>
        <v>81000000608010167519281000</v>
      </c>
    </row>
    <row r="24" customFormat="false" ht="28.35" hidden="false" customHeight="false" outlineLevel="0" collapsed="false">
      <c r="A24" s="5" t="n">
        <v>20</v>
      </c>
      <c r="B24" s="9" t="s">
        <v>133</v>
      </c>
      <c r="C24" s="6" t="s">
        <v>134</v>
      </c>
      <c r="D24" s="10" t="s">
        <v>135</v>
      </c>
      <c r="E24" s="5" t="s">
        <v>136</v>
      </c>
      <c r="F24" s="4" t="s">
        <v>137</v>
      </c>
      <c r="G24" s="4" t="s">
        <v>106</v>
      </c>
      <c r="H24" s="10"/>
      <c r="I24" s="5" t="str">
        <f aca="false">"SA"&amp;"xx"&amp;B24</f>
        <v>SAxx82</v>
      </c>
      <c r="J24" s="11" t="s">
        <v>21</v>
      </c>
      <c r="K24" s="5" t="str">
        <f aca="false">IF(LEN(J24)&lt;&gt;18,"طول خاطئ",TEXT(98-MOD(VALUE(MOD(VALUE(MOD(VALUE(MOD(VALUE(MID(N24,1,9)),97)&amp;MID(N24,10,7)),97)&amp;MID(N24,17,7)),97)&amp;MID(N24,24,7)),97),"00"))</f>
        <v>47</v>
      </c>
      <c r="L24" s="5" t="str">
        <f aca="false">IF(LEN(J24)&lt;&gt;18,"","SA"&amp;K24&amp;" "&amp;MID(B24&amp;J24,1,4)&amp;" "&amp;MID(B24&amp;J24,5,4)&amp;" "&amp;MID(B24&amp;J24,9,4)&amp;" "&amp;MID(B24&amp;J24,13,4)&amp;" "&amp;MID(B24&amp;J24,17,4))</f>
        <v>SA47 8200 0000 6080 1016 7519</v>
      </c>
      <c r="M24" s="5" t="str">
        <f aca="false">IF(LEN(J24)&lt;&gt;18,"",IF(MOD(VALUE(MOD(VALUE(MOD(VALUE(MOD(VALUE(MID((B24&amp;J24&amp;"2810"&amp;K24),1,9)),97)&amp;MID((B24&amp;J24&amp;"2810"&amp;K24),10,7)),97)&amp;MID((B24&amp;J24&amp;"2810"&amp;K24),17,7)),97)&amp;MID((B24&amp;J24&amp;"2810"&amp;K24),24,7)),97)=1,"صحيح ✓","خطأ"))</f>
        <v>صحيح ✓</v>
      </c>
      <c r="N24" s="12" t="str">
        <f aca="false">B24&amp;J24&amp;"281000"</f>
        <v>82000000608010167519281000</v>
      </c>
    </row>
    <row r="25" customFormat="false" ht="15" hidden="false" customHeight="false" outlineLevel="0" collapsed="false">
      <c r="A25" s="5" t="n">
        <v>21</v>
      </c>
      <c r="B25" s="9" t="s">
        <v>138</v>
      </c>
      <c r="C25" s="6" t="s">
        <v>139</v>
      </c>
      <c r="D25" s="10" t="s">
        <v>140</v>
      </c>
      <c r="E25" s="5" t="s">
        <v>141</v>
      </c>
      <c r="F25" s="4" t="s">
        <v>105</v>
      </c>
      <c r="G25" s="4" t="s">
        <v>106</v>
      </c>
      <c r="H25" s="6" t="s">
        <v>142</v>
      </c>
      <c r="I25" s="5" t="str">
        <f aca="false">"SA"&amp;"xx"&amp;B25</f>
        <v>SAxx83</v>
      </c>
      <c r="J25" s="11" t="s">
        <v>21</v>
      </c>
      <c r="K25" s="5" t="str">
        <f aca="false">IF(LEN(J25)&lt;&gt;18,"طول خاطئ",TEXT(98-MOD(VALUE(MOD(VALUE(MOD(VALUE(MOD(VALUE(MID(N25,1,9)),97)&amp;MID(N25,10,7)),97)&amp;MID(N25,17,7)),97)&amp;MID(N25,24,7)),97),"00"))</f>
        <v>69</v>
      </c>
      <c r="L25" s="5" t="str">
        <f aca="false">IF(LEN(J25)&lt;&gt;18,"","SA"&amp;K25&amp;" "&amp;MID(B25&amp;J25,1,4)&amp;" "&amp;MID(B25&amp;J25,5,4)&amp;" "&amp;MID(B25&amp;J25,9,4)&amp;" "&amp;MID(B25&amp;J25,13,4)&amp;" "&amp;MID(B25&amp;J25,17,4))</f>
        <v>SA69 8300 0000 6080 1016 7519</v>
      </c>
      <c r="M25" s="5" t="str">
        <f aca="false">IF(LEN(J25)&lt;&gt;18,"",IF(MOD(VALUE(MOD(VALUE(MOD(VALUE(MOD(VALUE(MID((B25&amp;J25&amp;"2810"&amp;K25),1,9)),97)&amp;MID((B25&amp;J25&amp;"2810"&amp;K25),10,7)),97)&amp;MID((B25&amp;J25&amp;"2810"&amp;K25),17,7)),97)&amp;MID((B25&amp;J25&amp;"2810"&amp;K25),24,7)),97)=1,"صحيح ✓","خطأ"))</f>
        <v>صحيح ✓</v>
      </c>
      <c r="N25" s="12" t="str">
        <f aca="false">B25&amp;J25&amp;"281000"</f>
        <v>83000000608010167519281000</v>
      </c>
    </row>
    <row r="26" customFormat="false" ht="15" hidden="false" customHeight="false" outlineLevel="0" collapsed="false">
      <c r="A26" s="5" t="n">
        <v>22</v>
      </c>
      <c r="B26" s="9" t="s">
        <v>143</v>
      </c>
      <c r="C26" s="6" t="s">
        <v>144</v>
      </c>
      <c r="D26" s="10" t="s">
        <v>145</v>
      </c>
      <c r="E26" s="5" t="s">
        <v>146</v>
      </c>
      <c r="F26" s="4" t="s">
        <v>105</v>
      </c>
      <c r="G26" s="4" t="s">
        <v>106</v>
      </c>
      <c r="H26" s="10"/>
      <c r="I26" s="5" t="str">
        <f aca="false">"SA"&amp;"xx"&amp;B26</f>
        <v>SAxx84</v>
      </c>
      <c r="J26" s="11" t="s">
        <v>21</v>
      </c>
      <c r="K26" s="5" t="str">
        <f aca="false">IF(LEN(J26)&lt;&gt;18,"طول خاطئ",TEXT(98-MOD(VALUE(MOD(VALUE(MOD(VALUE(MOD(VALUE(MID(N26,1,9)),97)&amp;MID(N26,10,7)),97)&amp;MID(N26,17,7)),97)&amp;MID(N26,24,7)),97),"00"))</f>
        <v>91</v>
      </c>
      <c r="L26" s="5" t="str">
        <f aca="false">IF(LEN(J26)&lt;&gt;18,"","SA"&amp;K26&amp;" "&amp;MID(B26&amp;J26,1,4)&amp;" "&amp;MID(B26&amp;J26,5,4)&amp;" "&amp;MID(B26&amp;J26,9,4)&amp;" "&amp;MID(B26&amp;J26,13,4)&amp;" "&amp;MID(B26&amp;J26,17,4))</f>
        <v>SA91 8400 0000 6080 1016 7519</v>
      </c>
      <c r="M26" s="5" t="str">
        <f aca="false">IF(LEN(J26)&lt;&gt;18,"",IF(MOD(VALUE(MOD(VALUE(MOD(VALUE(MOD(VALUE(MID((B26&amp;J26&amp;"2810"&amp;K26),1,9)),97)&amp;MID((B26&amp;J26&amp;"2810"&amp;K26),10,7)),97)&amp;MID((B26&amp;J26&amp;"2810"&amp;K26),17,7)),97)&amp;MID((B26&amp;J26&amp;"2810"&amp;K26),24,7)),97)=1,"صحيح ✓","خطأ"))</f>
        <v>صحيح ✓</v>
      </c>
      <c r="N26" s="12" t="str">
        <f aca="false">B26&amp;J26&amp;"281000"</f>
        <v>84000000608010167519281000</v>
      </c>
    </row>
    <row r="27" customFormat="false" ht="23.85" hidden="false" customHeight="false" outlineLevel="0" collapsed="false">
      <c r="A27" s="5" t="n">
        <v>23</v>
      </c>
      <c r="B27" s="9" t="s">
        <v>147</v>
      </c>
      <c r="C27" s="6" t="s">
        <v>148</v>
      </c>
      <c r="D27" s="10" t="s">
        <v>149</v>
      </c>
      <c r="E27" s="5" t="s">
        <v>150</v>
      </c>
      <c r="F27" s="4" t="s">
        <v>151</v>
      </c>
      <c r="G27" s="4" t="s">
        <v>106</v>
      </c>
      <c r="H27" s="10"/>
      <c r="I27" s="5" t="str">
        <f aca="false">"SA"&amp;"xx"&amp;B27</f>
        <v>SAxx85</v>
      </c>
      <c r="J27" s="11" t="s">
        <v>21</v>
      </c>
      <c r="K27" s="5" t="str">
        <f aca="false">IF(LEN(J27)&lt;&gt;18,"طول خاطئ",TEXT(98-MOD(VALUE(MOD(VALUE(MOD(VALUE(MOD(VALUE(MID(N27,1,9)),97)&amp;MID(N27,10,7)),97)&amp;MID(N27,17,7)),97)&amp;MID(N27,24,7)),97),"00"))</f>
        <v>16</v>
      </c>
      <c r="L27" s="5" t="str">
        <f aca="false">IF(LEN(J27)&lt;&gt;18,"","SA"&amp;K27&amp;" "&amp;MID(B27&amp;J27,1,4)&amp;" "&amp;MID(B27&amp;J27,5,4)&amp;" "&amp;MID(B27&amp;J27,9,4)&amp;" "&amp;MID(B27&amp;J27,13,4)&amp;" "&amp;MID(B27&amp;J27,17,4))</f>
        <v>SA16 8500 0000 6080 1016 7519</v>
      </c>
      <c r="M27" s="5" t="str">
        <f aca="false">IF(LEN(J27)&lt;&gt;18,"",IF(MOD(VALUE(MOD(VALUE(MOD(VALUE(MOD(VALUE(MID((B27&amp;J27&amp;"2810"&amp;K27),1,9)),97)&amp;MID((B27&amp;J27&amp;"2810"&amp;K27),10,7)),97)&amp;MID((B27&amp;J27&amp;"2810"&amp;K27),17,7)),97)&amp;MID((B27&amp;J27&amp;"2810"&amp;K27),24,7)),97)=1,"صحيح ✓","خطأ"))</f>
        <v>صحيح ✓</v>
      </c>
      <c r="N27" s="12" t="str">
        <f aca="false">B27&amp;J27&amp;"281000"</f>
        <v>85000000608010167519281000</v>
      </c>
    </row>
    <row r="28" customFormat="false" ht="41.75" hidden="false" customHeight="false" outlineLevel="0" collapsed="false">
      <c r="A28" s="5" t="n">
        <v>24</v>
      </c>
      <c r="B28" s="9" t="s">
        <v>152</v>
      </c>
      <c r="C28" s="6" t="s">
        <v>153</v>
      </c>
      <c r="D28" s="10" t="s">
        <v>154</v>
      </c>
      <c r="E28" s="5" t="s">
        <v>155</v>
      </c>
      <c r="F28" s="4" t="s">
        <v>156</v>
      </c>
      <c r="G28" s="4" t="s">
        <v>106</v>
      </c>
      <c r="H28" s="10"/>
      <c r="I28" s="5" t="str">
        <f aca="false">"SA"&amp;"xx"&amp;B28</f>
        <v>SAxx86</v>
      </c>
      <c r="J28" s="11" t="s">
        <v>21</v>
      </c>
      <c r="K28" s="5" t="str">
        <f aca="false">IF(LEN(J28)&lt;&gt;18,"طول خاطئ",TEXT(98-MOD(VALUE(MOD(VALUE(MOD(VALUE(MOD(VALUE(MID(N28,1,9)),97)&amp;MID(N28,10,7)),97)&amp;MID(N28,17,7)),97)&amp;MID(N28,24,7)),97),"00"))</f>
        <v>38</v>
      </c>
      <c r="L28" s="5" t="str">
        <f aca="false">IF(LEN(J28)&lt;&gt;18,"","SA"&amp;K28&amp;" "&amp;MID(B28&amp;J28,1,4)&amp;" "&amp;MID(B28&amp;J28,5,4)&amp;" "&amp;MID(B28&amp;J28,9,4)&amp;" "&amp;MID(B28&amp;J28,13,4)&amp;" "&amp;MID(B28&amp;J28,17,4))</f>
        <v>SA38 8600 0000 6080 1016 7519</v>
      </c>
      <c r="M28" s="5" t="str">
        <f aca="false">IF(LEN(J28)&lt;&gt;18,"",IF(MOD(VALUE(MOD(VALUE(MOD(VALUE(MOD(VALUE(MID((B28&amp;J28&amp;"2810"&amp;K28),1,9)),97)&amp;MID((B28&amp;J28&amp;"2810"&amp;K28),10,7)),97)&amp;MID((B28&amp;J28&amp;"2810"&amp;K28),17,7)),97)&amp;MID((B28&amp;J28&amp;"2810"&amp;K28),24,7)),97)=1,"صحيح ✓","خطأ"))</f>
        <v>صحيح ✓</v>
      </c>
      <c r="N28" s="12" t="str">
        <f aca="false">B28&amp;J28&amp;"281000"</f>
        <v>86000000608010167519281000</v>
      </c>
    </row>
    <row r="29" customFormat="false" ht="23.85" hidden="false" customHeight="false" outlineLevel="0" collapsed="false">
      <c r="A29" s="5" t="n">
        <v>25</v>
      </c>
      <c r="B29" s="9" t="s">
        <v>157</v>
      </c>
      <c r="C29" s="6" t="s">
        <v>158</v>
      </c>
      <c r="D29" s="10" t="s">
        <v>159</v>
      </c>
      <c r="E29" s="5" t="s">
        <v>160</v>
      </c>
      <c r="F29" s="4" t="s">
        <v>151</v>
      </c>
      <c r="G29" s="4" t="s">
        <v>106</v>
      </c>
      <c r="H29" s="10"/>
      <c r="I29" s="5" t="str">
        <f aca="false">"SA"&amp;"xx"&amp;B29</f>
        <v>SAxx90</v>
      </c>
      <c r="J29" s="11" t="s">
        <v>21</v>
      </c>
      <c r="K29" s="5" t="str">
        <f aca="false">IF(LEN(J29)&lt;&gt;18,"طول خاطئ",TEXT(98-MOD(VALUE(MOD(VALUE(MOD(VALUE(MOD(VALUE(MID(N29,1,9)),97)&amp;MID(N29,10,7)),97)&amp;MID(N29,17,7)),97)&amp;MID(N29,24,7)),97),"00"))</f>
        <v>29</v>
      </c>
      <c r="L29" s="5" t="str">
        <f aca="false">IF(LEN(J29)&lt;&gt;18,"","SA"&amp;K29&amp;" "&amp;MID(B29&amp;J29,1,4)&amp;" "&amp;MID(B29&amp;J29,5,4)&amp;" "&amp;MID(B29&amp;J29,9,4)&amp;" "&amp;MID(B29&amp;J29,13,4)&amp;" "&amp;MID(B29&amp;J29,17,4))</f>
        <v>SA29 9000 0000 6080 1016 7519</v>
      </c>
      <c r="M29" s="5" t="str">
        <f aca="false">IF(LEN(J29)&lt;&gt;18,"",IF(MOD(VALUE(MOD(VALUE(MOD(VALUE(MOD(VALUE(MID((B29&amp;J29&amp;"2810"&amp;K29),1,9)),97)&amp;MID((B29&amp;J29&amp;"2810"&amp;K29),10,7)),97)&amp;MID((B29&amp;J29&amp;"2810"&amp;K29),17,7)),97)&amp;MID((B29&amp;J29&amp;"2810"&amp;K29),24,7)),97)=1,"صحيح ✓","خطأ"))</f>
        <v>صحيح ✓</v>
      </c>
      <c r="N29" s="12" t="str">
        <f aca="false">B29&amp;J29&amp;"281000"</f>
        <v>90000000608010167519281000</v>
      </c>
    </row>
    <row r="30" customFormat="false" ht="23.85" hidden="false" customHeight="false" outlineLevel="0" collapsed="false">
      <c r="A30" s="5" t="n">
        <v>26</v>
      </c>
      <c r="B30" s="9" t="s">
        <v>161</v>
      </c>
      <c r="C30" s="6" t="s">
        <v>162</v>
      </c>
      <c r="D30" s="10" t="s">
        <v>163</v>
      </c>
      <c r="E30" s="5" t="s">
        <v>164</v>
      </c>
      <c r="F30" s="4" t="s">
        <v>111</v>
      </c>
      <c r="G30" s="4" t="s">
        <v>106</v>
      </c>
      <c r="H30" s="10"/>
      <c r="I30" s="5" t="str">
        <f aca="false">"SA"&amp;"xx"&amp;B30</f>
        <v>SAxx95</v>
      </c>
      <c r="J30" s="11" t="s">
        <v>21</v>
      </c>
      <c r="K30" s="5" t="str">
        <f aca="false">IF(LEN(J30)&lt;&gt;18,"طول خاطئ",TEXT(98-MOD(VALUE(MOD(VALUE(MOD(VALUE(MOD(VALUE(MID(N30,1,9)),97)&amp;MID(N30,10,7)),97)&amp;MID(N30,17,7)),97)&amp;MID(N30,24,7)),97),"00"))</f>
        <v>42</v>
      </c>
      <c r="L30" s="5" t="str">
        <f aca="false">IF(LEN(J30)&lt;&gt;18,"","SA"&amp;K30&amp;" "&amp;MID(B30&amp;J30,1,4)&amp;" "&amp;MID(B30&amp;J30,5,4)&amp;" "&amp;MID(B30&amp;J30,9,4)&amp;" "&amp;MID(B30&amp;J30,13,4)&amp;" "&amp;MID(B30&amp;J30,17,4))</f>
        <v>SA42 9500 0000 6080 1016 7519</v>
      </c>
      <c r="M30" s="5" t="str">
        <f aca="false">IF(LEN(J30)&lt;&gt;18,"",IF(MOD(VALUE(MOD(VALUE(MOD(VALUE(MOD(VALUE(MID((B30&amp;J30&amp;"2810"&amp;K30),1,9)),97)&amp;MID((B30&amp;J30&amp;"2810"&amp;K30),10,7)),97)&amp;MID((B30&amp;J30&amp;"2810"&amp;K30),17,7)),97)&amp;MID((B30&amp;J30&amp;"2810"&amp;K30),24,7)),97)=1,"صحيح ✓","خطأ"))</f>
        <v>صحيح ✓</v>
      </c>
      <c r="N30" s="12" t="str">
        <f aca="false">B30&amp;J30&amp;"281000"</f>
        <v>95000000608010167519281000</v>
      </c>
    </row>
    <row r="32" customFormat="false" ht="60" hidden="false" customHeight="true" outlineLevel="0" collapsed="false">
      <c r="A32" s="8" t="s">
        <v>165</v>
      </c>
      <c r="B32" s="8"/>
      <c r="C32" s="8"/>
      <c r="D32" s="8"/>
      <c r="E32" s="8"/>
      <c r="F32" s="8"/>
      <c r="G32" s="8"/>
      <c r="H32" s="8"/>
      <c r="I32" s="8"/>
      <c r="J32" s="8"/>
      <c r="K32" s="8"/>
      <c r="L32" s="8"/>
      <c r="M32" s="8"/>
    </row>
    <row r="33" customFormat="false" ht="15" hidden="false" customHeight="false" outlineLevel="0" collapsed="false">
      <c r="A33" s="2" t="s">
        <v>166</v>
      </c>
    </row>
  </sheetData>
  <mergeCells count="2">
    <mergeCell ref="A2:M2"/>
    <mergeCell ref="A32:M32"/>
  </mergeCells>
  <conditionalFormatting sqref="F5:F30">
    <cfRule type="expression" priority="2" aboveAverage="0" equalAverage="0" bottom="0" percent="0" rank="0" text="" dxfId="0">
      <formula>LEFT($F5,4)="مؤكد"</formula>
    </cfRule>
    <cfRule type="expression" priority="3" aboveAverage="0" equalAverage="0" bottom="0" percent="0" rank="0" text="" dxfId="1">
      <formula>LEFT($F5,3)="غير"</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44"/>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1"/>
  <cols>
    <col collapsed="false" customWidth="true" hidden="false" outlineLevel="0" max="1" min="1" style="0" width="32"/>
    <col collapsed="false" customWidth="true" hidden="false" outlineLevel="0" max="2" min="2" style="0" width="28"/>
    <col collapsed="false" customWidth="true" hidden="false" outlineLevel="0" max="4" min="3" style="0" width="8"/>
    <col collapsed="false" customWidth="true" hidden="false" outlineLevel="0" max="5" min="5" style="0" width="12"/>
    <col collapsed="false" customWidth="true" hidden="false" outlineLevel="0" max="6" min="6" style="0" width="10"/>
    <col collapsed="false" customWidth="true" hidden="false" outlineLevel="0" max="7" min="7" style="0" width="32"/>
    <col collapsed="false" customWidth="true" hidden="false" outlineLevel="0" max="8" min="8" style="0" width="12"/>
    <col collapsed="false" customWidth="true" hidden="false" outlineLevel="0" max="9" min="9" style="0" width="16"/>
    <col collapsed="false" customWidth="true" hidden="false" outlineLevel="0" max="10" min="10" style="0" width="12"/>
    <col collapsed="false" customWidth="true" hidden="false" outlineLevel="0" max="11" min="11" style="0" width="44"/>
    <col collapsed="false" customWidth="true" hidden="false" outlineLevel="0" max="12" min="12" style="0" width="30"/>
    <col collapsed="false" customWidth="true" hidden="true" outlineLevel="1" max="47" min="13" style="0" width="6"/>
    <col collapsed="false" customWidth="true" hidden="true" outlineLevel="1" max="48" min="48" style="0" width="40"/>
    <col collapsed="false" customWidth="true" hidden="true" outlineLevel="1" max="58" min="49" style="0" width="16"/>
  </cols>
  <sheetData>
    <row r="1" customFormat="false" ht="17.15" hidden="false" customHeight="false" outlineLevel="0" collapsed="false">
      <c r="A1" s="1" t="s">
        <v>167</v>
      </c>
    </row>
    <row r="2" customFormat="false" ht="15" hidden="false" customHeight="false" outlineLevel="0" collapsed="false">
      <c r="A2" s="16" t="s">
        <v>168</v>
      </c>
      <c r="B2" s="16"/>
      <c r="C2" s="16"/>
      <c r="D2" s="16"/>
      <c r="E2" s="16"/>
      <c r="F2" s="16"/>
      <c r="G2" s="16"/>
      <c r="H2" s="16"/>
      <c r="I2" s="16"/>
      <c r="J2" s="16"/>
    </row>
    <row r="4" customFormat="false" ht="31.5" hidden="false" customHeight="true" outlineLevel="0" collapsed="false">
      <c r="A4" s="3" t="s">
        <v>169</v>
      </c>
      <c r="B4" s="3" t="s">
        <v>170</v>
      </c>
      <c r="C4" s="3" t="s">
        <v>171</v>
      </c>
      <c r="D4" s="3" t="s">
        <v>172</v>
      </c>
      <c r="E4" s="3" t="s">
        <v>173</v>
      </c>
      <c r="F4" s="3" t="s">
        <v>15</v>
      </c>
      <c r="G4" s="3" t="s">
        <v>31</v>
      </c>
      <c r="H4" s="3" t="s">
        <v>174</v>
      </c>
      <c r="I4" s="3" t="s">
        <v>175</v>
      </c>
      <c r="J4" s="3" t="s">
        <v>176</v>
      </c>
      <c r="K4" s="3" t="s">
        <v>177</v>
      </c>
      <c r="L4" s="17" t="s">
        <v>178</v>
      </c>
      <c r="M4" s="17" t="s">
        <v>179</v>
      </c>
      <c r="N4" s="17" t="s">
        <v>180</v>
      </c>
      <c r="O4" s="17" t="s">
        <v>181</v>
      </c>
      <c r="P4" s="17" t="s">
        <v>182</v>
      </c>
      <c r="Q4" s="17" t="s">
        <v>183</v>
      </c>
      <c r="R4" s="17" t="s">
        <v>184</v>
      </c>
      <c r="S4" s="17" t="s">
        <v>185</v>
      </c>
      <c r="T4" s="17" t="s">
        <v>186</v>
      </c>
      <c r="U4" s="17" t="s">
        <v>187</v>
      </c>
      <c r="V4" s="17" t="s">
        <v>188</v>
      </c>
      <c r="W4" s="17" t="s">
        <v>189</v>
      </c>
      <c r="X4" s="17" t="s">
        <v>190</v>
      </c>
      <c r="Y4" s="17" t="s">
        <v>191</v>
      </c>
      <c r="Z4" s="17" t="s">
        <v>192</v>
      </c>
      <c r="AA4" s="17" t="s">
        <v>193</v>
      </c>
      <c r="AB4" s="17" t="s">
        <v>194</v>
      </c>
      <c r="AC4" s="17" t="s">
        <v>195</v>
      </c>
      <c r="AD4" s="17" t="s">
        <v>196</v>
      </c>
      <c r="AE4" s="17" t="s">
        <v>197</v>
      </c>
      <c r="AF4" s="17" t="s">
        <v>198</v>
      </c>
      <c r="AG4" s="17" t="s">
        <v>199</v>
      </c>
      <c r="AH4" s="17" t="s">
        <v>200</v>
      </c>
      <c r="AI4" s="17" t="s">
        <v>201</v>
      </c>
      <c r="AJ4" s="17" t="s">
        <v>202</v>
      </c>
      <c r="AK4" s="17" t="s">
        <v>203</v>
      </c>
      <c r="AL4" s="17" t="s">
        <v>204</v>
      </c>
      <c r="AM4" s="17" t="s">
        <v>205</v>
      </c>
      <c r="AN4" s="17" t="s">
        <v>206</v>
      </c>
      <c r="AO4" s="17" t="s">
        <v>207</v>
      </c>
      <c r="AP4" s="17" t="s">
        <v>208</v>
      </c>
      <c r="AQ4" s="17" t="s">
        <v>209</v>
      </c>
      <c r="AR4" s="17" t="s">
        <v>210</v>
      </c>
      <c r="AS4" s="17" t="s">
        <v>211</v>
      </c>
      <c r="AT4" s="17" t="s">
        <v>212</v>
      </c>
      <c r="AU4" s="17" t="s">
        <v>213</v>
      </c>
      <c r="AV4" s="17" t="s">
        <v>214</v>
      </c>
      <c r="AW4" s="17" t="s">
        <v>215</v>
      </c>
      <c r="AX4" s="17" t="s">
        <v>216</v>
      </c>
      <c r="AY4" s="17" t="s">
        <v>217</v>
      </c>
      <c r="AZ4" s="17" t="s">
        <v>218</v>
      </c>
      <c r="BA4" s="17" t="s">
        <v>219</v>
      </c>
      <c r="BB4" s="17" t="s">
        <v>220</v>
      </c>
      <c r="BC4" s="17" t="s">
        <v>221</v>
      </c>
      <c r="BD4" s="17" t="s">
        <v>222</v>
      </c>
      <c r="BE4" s="17" t="s">
        <v>223</v>
      </c>
      <c r="BF4" s="17" t="s">
        <v>224</v>
      </c>
    </row>
    <row r="5" customFormat="false" ht="15" hidden="false" customHeight="false" outlineLevel="0" collapsed="false">
      <c r="A5" s="11" t="s">
        <v>25</v>
      </c>
      <c r="B5" s="5" t="str">
        <f aca="false">UPPER(SUBSTITUTE(SUBSTITUTE(SUBSTITUTE(TRIM(A5)," ",""),"-",""),CHAR(160),""))</f>
        <v>SA0380000000608010167519</v>
      </c>
      <c r="C5" s="5" t="n">
        <f aca="false">IF(B5="","",LEN(B5))</f>
        <v>24</v>
      </c>
      <c r="D5" s="5" t="str">
        <f aca="false">IF(B5="","",LEFT(B5,2))</f>
        <v>SA</v>
      </c>
      <c r="E5" s="5" t="str">
        <f aca="false">IF(B5="","",MID(B5,3,2))</f>
        <v>03</v>
      </c>
      <c r="F5" s="5" t="str">
        <f aca="false">IF(B5="","",MID(B5,5,2))</f>
        <v>80</v>
      </c>
      <c r="G5" s="5" t="str">
        <f aca="false">IF(B5="","",IFERROR(INDEX('رموز البنوك'!$C$5:$C$30,MATCH(F5,'رموز البنوك'!$B$5:$B$30,0)),"رمز غير معروف"))</f>
        <v>مصرف الراجحي</v>
      </c>
      <c r="H5" s="5" t="n">
        <f aca="false">BF5</f>
        <v>1</v>
      </c>
      <c r="I5" s="5" t="str">
        <f aca="false">IF(OR(H5="",NOT(AND(ISNUMBER(FIND(MID(B5,3,1),"0123456789")),ISNUMBER(FIND(MID(B5,4,1),"0123456789"))))),"",TEXT(98-MOD(H5-VALUE(E5),97),"00"))</f>
        <v>03</v>
      </c>
      <c r="J5" s="4" t="str">
        <f aca="false">IF(B5="","",IF(LEFT(K5,10)="آيبان صحيح","صحيح ✓","غير صحيح ✗"))</f>
        <v>صحيح ✓</v>
      </c>
      <c r="K5" s="10" t="str">
        <f aca="false">IF(B5="","",IF(M5=FALSE(),"يحتوي رموزاً غير مسموحة (المسموح A–Z و 0–9 فقط)",IF(D5&lt;&gt;"SA","رمز الدولة "&amp;D5&amp;" — هذا المدقق للآيبان السعودي SA",IF(C5&lt;&gt;24,"الطول "&amp;C5&amp;" خانة والمطلوب 24",IF(NOT(AND(ISNUMBER(FIND(MID(B5,3,1),"0123456789")),ISNUMBER(FIND(MID(B5,4,1),"0123456789")))),"خانتا التدقيق يجب أن تكونا رقمين",IF(ISERROR(VALUE(MID(B5,5,20))),"رمز البنك ورقم الحساب يجب أن يكونا أرقاماً",IF(H5&lt;&gt;1,"فشل اختبار MOD-97 (الباقي "&amp;H5&amp;" وليس 1) — خطأ في كتابة الرقم؛ خانتا التدقيق الصحيحتان لهذا الحساب "&amp;I5,IF(G5="رمز غير معروف","اجتاز MOD-97 لكن رمز البنك "&amp;F5&amp;" غير مسجل في جدول البنوك","آيبان صحيح — "&amp;G5))))))))</f>
        <v>آيبان صحيح — مصرف الراجحي</v>
      </c>
      <c r="L5" s="18" t="str">
        <f aca="false">IF(B5="","",MID(B5,5,40)&amp;LEFT(B5,4))</f>
        <v>80000000608010167519SA03</v>
      </c>
      <c r="M5" s="19" t="b">
        <f aca="false">IF(L5="","",NOT(ISNUMBER(FIND("#",AV5))))</f>
        <v>1</v>
      </c>
      <c r="N5" s="18" t="str">
        <f aca="false">IF(LEN($L5)&lt;1,"",IF(ISNUMBER(FIND(MID($L5,1,1),"0123456789")),MID($L5,1,1),IF(ISNUMBER(FIND(MID($L5,1,1),"ABCDEFGHIJKLMNOPQRSTUVWXYZ")),CODE(MID($L5,1,1))-55,"#")))</f>
        <v>8</v>
      </c>
      <c r="O5" s="18" t="str">
        <f aca="false">IF(LEN($L5)&lt;2,"",IF(ISNUMBER(FIND(MID($L5,2,1),"0123456789")),MID($L5,2,1),IF(ISNUMBER(FIND(MID($L5,2,1),"ABCDEFGHIJKLMNOPQRSTUVWXYZ")),CODE(MID($L5,2,1))-55,"#")))</f>
        <v>0</v>
      </c>
      <c r="P5" s="18" t="str">
        <f aca="false">IF(LEN($L5)&lt;3,"",IF(ISNUMBER(FIND(MID($L5,3,1),"0123456789")),MID($L5,3,1),IF(ISNUMBER(FIND(MID($L5,3,1),"ABCDEFGHIJKLMNOPQRSTUVWXYZ")),CODE(MID($L5,3,1))-55,"#")))</f>
        <v>0</v>
      </c>
      <c r="Q5" s="18" t="str">
        <f aca="false">IF(LEN($L5)&lt;4,"",IF(ISNUMBER(FIND(MID($L5,4,1),"0123456789")),MID($L5,4,1),IF(ISNUMBER(FIND(MID($L5,4,1),"ABCDEFGHIJKLMNOPQRSTUVWXYZ")),CODE(MID($L5,4,1))-55,"#")))</f>
        <v>0</v>
      </c>
      <c r="R5" s="18" t="str">
        <f aca="false">IF(LEN($L5)&lt;5,"",IF(ISNUMBER(FIND(MID($L5,5,1),"0123456789")),MID($L5,5,1),IF(ISNUMBER(FIND(MID($L5,5,1),"ABCDEFGHIJKLMNOPQRSTUVWXYZ")),CODE(MID($L5,5,1))-55,"#")))</f>
        <v>0</v>
      </c>
      <c r="S5" s="18" t="str">
        <f aca="false">IF(LEN($L5)&lt;6,"",IF(ISNUMBER(FIND(MID($L5,6,1),"0123456789")),MID($L5,6,1),IF(ISNUMBER(FIND(MID($L5,6,1),"ABCDEFGHIJKLMNOPQRSTUVWXYZ")),CODE(MID($L5,6,1))-55,"#")))</f>
        <v>0</v>
      </c>
      <c r="T5" s="18" t="str">
        <f aca="false">IF(LEN($L5)&lt;7,"",IF(ISNUMBER(FIND(MID($L5,7,1),"0123456789")),MID($L5,7,1),IF(ISNUMBER(FIND(MID($L5,7,1),"ABCDEFGHIJKLMNOPQRSTUVWXYZ")),CODE(MID($L5,7,1))-55,"#")))</f>
        <v>0</v>
      </c>
      <c r="U5" s="18" t="str">
        <f aca="false">IF(LEN($L5)&lt;8,"",IF(ISNUMBER(FIND(MID($L5,8,1),"0123456789")),MID($L5,8,1),IF(ISNUMBER(FIND(MID($L5,8,1),"ABCDEFGHIJKLMNOPQRSTUVWXYZ")),CODE(MID($L5,8,1))-55,"#")))</f>
        <v>0</v>
      </c>
      <c r="V5" s="18" t="str">
        <f aca="false">IF(LEN($L5)&lt;9,"",IF(ISNUMBER(FIND(MID($L5,9,1),"0123456789")),MID($L5,9,1),IF(ISNUMBER(FIND(MID($L5,9,1),"ABCDEFGHIJKLMNOPQRSTUVWXYZ")),CODE(MID($L5,9,1))-55,"#")))</f>
        <v>6</v>
      </c>
      <c r="W5" s="18" t="str">
        <f aca="false">IF(LEN($L5)&lt;10,"",IF(ISNUMBER(FIND(MID($L5,10,1),"0123456789")),MID($L5,10,1),IF(ISNUMBER(FIND(MID($L5,10,1),"ABCDEFGHIJKLMNOPQRSTUVWXYZ")),CODE(MID($L5,10,1))-55,"#")))</f>
        <v>0</v>
      </c>
      <c r="X5" s="18" t="str">
        <f aca="false">IF(LEN($L5)&lt;11,"",IF(ISNUMBER(FIND(MID($L5,11,1),"0123456789")),MID($L5,11,1),IF(ISNUMBER(FIND(MID($L5,11,1),"ABCDEFGHIJKLMNOPQRSTUVWXYZ")),CODE(MID($L5,11,1))-55,"#")))</f>
        <v>8</v>
      </c>
      <c r="Y5" s="18" t="str">
        <f aca="false">IF(LEN($L5)&lt;12,"",IF(ISNUMBER(FIND(MID($L5,12,1),"0123456789")),MID($L5,12,1),IF(ISNUMBER(FIND(MID($L5,12,1),"ABCDEFGHIJKLMNOPQRSTUVWXYZ")),CODE(MID($L5,12,1))-55,"#")))</f>
        <v>0</v>
      </c>
      <c r="Z5" s="18" t="str">
        <f aca="false">IF(LEN($L5)&lt;13,"",IF(ISNUMBER(FIND(MID($L5,13,1),"0123456789")),MID($L5,13,1),IF(ISNUMBER(FIND(MID($L5,13,1),"ABCDEFGHIJKLMNOPQRSTUVWXYZ")),CODE(MID($L5,13,1))-55,"#")))</f>
        <v>1</v>
      </c>
      <c r="AA5" s="18" t="str">
        <f aca="false">IF(LEN($L5)&lt;14,"",IF(ISNUMBER(FIND(MID($L5,14,1),"0123456789")),MID($L5,14,1),IF(ISNUMBER(FIND(MID($L5,14,1),"ABCDEFGHIJKLMNOPQRSTUVWXYZ")),CODE(MID($L5,14,1))-55,"#")))</f>
        <v>0</v>
      </c>
      <c r="AB5" s="18" t="str">
        <f aca="false">IF(LEN($L5)&lt;15,"",IF(ISNUMBER(FIND(MID($L5,15,1),"0123456789")),MID($L5,15,1),IF(ISNUMBER(FIND(MID($L5,15,1),"ABCDEFGHIJKLMNOPQRSTUVWXYZ")),CODE(MID($L5,15,1))-55,"#")))</f>
        <v>1</v>
      </c>
      <c r="AC5" s="18" t="str">
        <f aca="false">IF(LEN($L5)&lt;16,"",IF(ISNUMBER(FIND(MID($L5,16,1),"0123456789")),MID($L5,16,1),IF(ISNUMBER(FIND(MID($L5,16,1),"ABCDEFGHIJKLMNOPQRSTUVWXYZ")),CODE(MID($L5,16,1))-55,"#")))</f>
        <v>6</v>
      </c>
      <c r="AD5" s="18" t="str">
        <f aca="false">IF(LEN($L5)&lt;17,"",IF(ISNUMBER(FIND(MID($L5,17,1),"0123456789")),MID($L5,17,1),IF(ISNUMBER(FIND(MID($L5,17,1),"ABCDEFGHIJKLMNOPQRSTUVWXYZ")),CODE(MID($L5,17,1))-55,"#")))</f>
        <v>7</v>
      </c>
      <c r="AE5" s="18" t="str">
        <f aca="false">IF(LEN($L5)&lt;18,"",IF(ISNUMBER(FIND(MID($L5,18,1),"0123456789")),MID($L5,18,1),IF(ISNUMBER(FIND(MID($L5,18,1),"ABCDEFGHIJKLMNOPQRSTUVWXYZ")),CODE(MID($L5,18,1))-55,"#")))</f>
        <v>5</v>
      </c>
      <c r="AF5" s="18" t="str">
        <f aca="false">IF(LEN($L5)&lt;19,"",IF(ISNUMBER(FIND(MID($L5,19,1),"0123456789")),MID($L5,19,1),IF(ISNUMBER(FIND(MID($L5,19,1),"ABCDEFGHIJKLMNOPQRSTUVWXYZ")),CODE(MID($L5,19,1))-55,"#")))</f>
        <v>1</v>
      </c>
      <c r="AG5" s="18" t="str">
        <f aca="false">IF(LEN($L5)&lt;20,"",IF(ISNUMBER(FIND(MID($L5,20,1),"0123456789")),MID($L5,20,1),IF(ISNUMBER(FIND(MID($L5,20,1),"ABCDEFGHIJKLMNOPQRSTUVWXYZ")),CODE(MID($L5,20,1))-55,"#")))</f>
        <v>9</v>
      </c>
      <c r="AH5" s="18" t="n">
        <f aca="false">IF(LEN($L5)&lt;21,"",IF(ISNUMBER(FIND(MID($L5,21,1),"0123456789")),MID($L5,21,1),IF(ISNUMBER(FIND(MID($L5,21,1),"ABCDEFGHIJKLMNOPQRSTUVWXYZ")),CODE(MID($L5,21,1))-55,"#")))</f>
        <v>28</v>
      </c>
      <c r="AI5" s="18" t="n">
        <f aca="false">IF(LEN($L5)&lt;22,"",IF(ISNUMBER(FIND(MID($L5,22,1),"0123456789")),MID($L5,22,1),IF(ISNUMBER(FIND(MID($L5,22,1),"ABCDEFGHIJKLMNOPQRSTUVWXYZ")),CODE(MID($L5,22,1))-55,"#")))</f>
        <v>10</v>
      </c>
      <c r="AJ5" s="18" t="str">
        <f aca="false">IF(LEN($L5)&lt;23,"",IF(ISNUMBER(FIND(MID($L5,23,1),"0123456789")),MID($L5,23,1),IF(ISNUMBER(FIND(MID($L5,23,1),"ABCDEFGHIJKLMNOPQRSTUVWXYZ")),CODE(MID($L5,23,1))-55,"#")))</f>
        <v>0</v>
      </c>
      <c r="AK5" s="18" t="str">
        <f aca="false">IF(LEN($L5)&lt;24,"",IF(ISNUMBER(FIND(MID($L5,24,1),"0123456789")),MID($L5,24,1),IF(ISNUMBER(FIND(MID($L5,24,1),"ABCDEFGHIJKLMNOPQRSTUVWXYZ")),CODE(MID($L5,24,1))-55,"#")))</f>
        <v>3</v>
      </c>
      <c r="AL5" s="18" t="str">
        <f aca="false">IF(LEN($L5)&lt;25,"",IF(ISNUMBER(FIND(MID($L5,25,1),"0123456789")),MID($L5,25,1),IF(ISNUMBER(FIND(MID($L5,25,1),"ABCDEFGHIJKLMNOPQRSTUVWXYZ")),CODE(MID($L5,25,1))-55,"#")))</f>
        <v/>
      </c>
      <c r="AM5" s="18" t="str">
        <f aca="false">IF(LEN($L5)&lt;26,"",IF(ISNUMBER(FIND(MID($L5,26,1),"0123456789")),MID($L5,26,1),IF(ISNUMBER(FIND(MID($L5,26,1),"ABCDEFGHIJKLMNOPQRSTUVWXYZ")),CODE(MID($L5,26,1))-55,"#")))</f>
        <v/>
      </c>
      <c r="AN5" s="18" t="str">
        <f aca="false">IF(LEN($L5)&lt;27,"",IF(ISNUMBER(FIND(MID($L5,27,1),"0123456789")),MID($L5,27,1),IF(ISNUMBER(FIND(MID($L5,27,1),"ABCDEFGHIJKLMNOPQRSTUVWXYZ")),CODE(MID($L5,27,1))-55,"#")))</f>
        <v/>
      </c>
      <c r="AO5" s="18" t="str">
        <f aca="false">IF(LEN($L5)&lt;28,"",IF(ISNUMBER(FIND(MID($L5,28,1),"0123456789")),MID($L5,28,1),IF(ISNUMBER(FIND(MID($L5,28,1),"ABCDEFGHIJKLMNOPQRSTUVWXYZ")),CODE(MID($L5,28,1))-55,"#")))</f>
        <v/>
      </c>
      <c r="AP5" s="18" t="str">
        <f aca="false">IF(LEN($L5)&lt;29,"",IF(ISNUMBER(FIND(MID($L5,29,1),"0123456789")),MID($L5,29,1),IF(ISNUMBER(FIND(MID($L5,29,1),"ABCDEFGHIJKLMNOPQRSTUVWXYZ")),CODE(MID($L5,29,1))-55,"#")))</f>
        <v/>
      </c>
      <c r="AQ5" s="18" t="str">
        <f aca="false">IF(LEN($L5)&lt;30,"",IF(ISNUMBER(FIND(MID($L5,30,1),"0123456789")),MID($L5,30,1),IF(ISNUMBER(FIND(MID($L5,30,1),"ABCDEFGHIJKLMNOPQRSTUVWXYZ")),CODE(MID($L5,30,1))-55,"#")))</f>
        <v/>
      </c>
      <c r="AR5" s="18" t="str">
        <f aca="false">IF(LEN($L5)&lt;31,"",IF(ISNUMBER(FIND(MID($L5,31,1),"0123456789")),MID($L5,31,1),IF(ISNUMBER(FIND(MID($L5,31,1),"ABCDEFGHIJKLMNOPQRSTUVWXYZ")),CODE(MID($L5,31,1))-55,"#")))</f>
        <v/>
      </c>
      <c r="AS5" s="18" t="str">
        <f aca="false">IF(LEN($L5)&lt;32,"",IF(ISNUMBER(FIND(MID($L5,32,1),"0123456789")),MID($L5,32,1),IF(ISNUMBER(FIND(MID($L5,32,1),"ABCDEFGHIJKLMNOPQRSTUVWXYZ")),CODE(MID($L5,32,1))-55,"#")))</f>
        <v/>
      </c>
      <c r="AT5" s="18" t="str">
        <f aca="false">IF(LEN($L5)&lt;33,"",IF(ISNUMBER(FIND(MID($L5,33,1),"0123456789")),MID($L5,33,1),IF(ISNUMBER(FIND(MID($L5,33,1),"ABCDEFGHIJKLMNOPQRSTUVWXYZ")),CODE(MID($L5,33,1))-55,"#")))</f>
        <v/>
      </c>
      <c r="AU5" s="18" t="str">
        <f aca="false">IF(LEN($L5)&lt;34,"",IF(ISNUMBER(FIND(MID($L5,34,1),"0123456789")),MID($L5,34,1),IF(ISNUMBER(FIND(MID($L5,34,1),"ABCDEFGHIJKLMNOPQRSTUVWXYZ")),CODE(MID($L5,34,1))-55,"#")))</f>
        <v/>
      </c>
      <c r="AV5" s="18" t="str">
        <f aca="false">_xlfn.CONCAT(N5:AU5)</f>
        <v>80000000608010167519281003</v>
      </c>
      <c r="AW5" s="18" t="n">
        <f aca="false">IF(OR(AV5="",M5=FALSE()),"",MOD(VALUE(MID(AV5,1,9)),97))</f>
        <v>72</v>
      </c>
      <c r="AX5" s="18" t="n">
        <f aca="false">IF(AW5="","",MOD(VALUE(AW5&amp;MID(AV5,10,7)),97))</f>
        <v>30</v>
      </c>
      <c r="AY5" s="18" t="n">
        <f aca="false">IF(AX5="","",MOD(VALUE(AX5&amp;MID(AV5,17,7)),97))</f>
        <v>84</v>
      </c>
      <c r="AZ5" s="18" t="n">
        <f aca="false">IF(AY5="","",MOD(VALUE(AY5&amp;MID(AV5,24,7)),97))</f>
        <v>1</v>
      </c>
      <c r="BA5" s="18" t="n">
        <f aca="false">IF(AZ5="","",MOD(VALUE(AZ5&amp;MID(AV5,31,7)),97))</f>
        <v>1</v>
      </c>
      <c r="BB5" s="18" t="n">
        <f aca="false">IF(BA5="","",MOD(VALUE(BA5&amp;MID(AV5,38,7)),97))</f>
        <v>1</v>
      </c>
      <c r="BC5" s="18" t="n">
        <f aca="false">IF(BB5="","",MOD(VALUE(BB5&amp;MID(AV5,45,7)),97))</f>
        <v>1</v>
      </c>
      <c r="BD5" s="18" t="n">
        <f aca="false">IF(BC5="","",MOD(VALUE(BC5&amp;MID(AV5,52,7)),97))</f>
        <v>1</v>
      </c>
      <c r="BE5" s="18" t="n">
        <f aca="false">IF(BD5="","",MOD(VALUE(BD5&amp;MID(AV5,59,7)),97))</f>
        <v>1</v>
      </c>
      <c r="BF5" s="18" t="n">
        <f aca="false">IF(BE5="","",MOD(VALUE(BE5&amp;MID(AV5,66,7)),97))</f>
        <v>1</v>
      </c>
    </row>
    <row r="6" customFormat="false" ht="26.1" hidden="false" customHeight="false" outlineLevel="0" collapsed="false">
      <c r="A6" s="11" t="s">
        <v>225</v>
      </c>
      <c r="B6" s="5" t="str">
        <f aca="false">UPPER(SUBSTITUTE(SUBSTITUTE(SUBSTITUTE(TRIM(A6)," ",""),"-",""),CHAR(160),""))</f>
        <v>SA0480000000608010167519</v>
      </c>
      <c r="C6" s="5" t="n">
        <f aca="false">IF(B6="","",LEN(B6))</f>
        <v>24</v>
      </c>
      <c r="D6" s="5" t="str">
        <f aca="false">IF(B6="","",LEFT(B6,2))</f>
        <v>SA</v>
      </c>
      <c r="E6" s="5" t="str">
        <f aca="false">IF(B6="","",MID(B6,3,2))</f>
        <v>04</v>
      </c>
      <c r="F6" s="5" t="str">
        <f aca="false">IF(B6="","",MID(B6,5,2))</f>
        <v>80</v>
      </c>
      <c r="G6" s="5" t="str">
        <f aca="false">IF(B6="","",IFERROR(INDEX('رموز البنوك'!$C$5:$C$30,MATCH(F6,'رموز البنوك'!$B$5:$B$30,0)),"رمز غير معروف"))</f>
        <v>مصرف الراجحي</v>
      </c>
      <c r="H6" s="5" t="n">
        <f aca="false">BF6</f>
        <v>2</v>
      </c>
      <c r="I6" s="5" t="str">
        <f aca="false">IF(OR(H6="",NOT(AND(ISNUMBER(FIND(MID(B6,3,1),"0123456789")),ISNUMBER(FIND(MID(B6,4,1),"0123456789"))))),"",TEXT(98-MOD(H6-VALUE(E6),97),"00"))</f>
        <v>03</v>
      </c>
      <c r="J6" s="4" t="str">
        <f aca="false">IF(B6="","",IF(LEFT(K6,10)="آيبان صحيح","صحيح ✓","غير صحيح ✗"))</f>
        <v>غير صحيح ✗</v>
      </c>
      <c r="K6" s="10" t="str">
        <f aca="false">IF(B6="","",IF(M6=FALSE(),"يحتوي رموزاً غير مسموحة (المسموح A–Z و 0–9 فقط)",IF(D6&lt;&gt;"SA","رمز الدولة "&amp;D6&amp;" — هذا المدقق للآيبان السعودي SA",IF(C6&lt;&gt;24,"الطول "&amp;C6&amp;" خانة والمطلوب 24",IF(NOT(AND(ISNUMBER(FIND(MID(B6,3,1),"0123456789")),ISNUMBER(FIND(MID(B6,4,1),"0123456789")))),"خانتا التدقيق يجب أن تكونا رقمين",IF(ISERROR(VALUE(MID(B6,5,20))),"رمز البنك ورقم الحساب يجب أن يكونا أرقاماً",IF(H6&lt;&gt;1,"فشل اختبار MOD-97 (الباقي "&amp;H6&amp;" وليس 1) — خطأ في كتابة الرقم؛ خانتا التدقيق الصحيحتان لهذا الحساب "&amp;I6,IF(G6="رمز غير معروف","اجتاز MOD-97 لكن رمز البنك "&amp;F6&amp;" غير مسجل في جدول البنوك","آيبان صحيح — "&amp;G6))))))))</f>
        <v>فشل اختبار MOD-97 (الباقي 2 وليس 1) — خطأ في كتابة الرقم؛ خانتا التدقيق الصحيحتان لهذا الحساب 03</v>
      </c>
      <c r="L6" s="18" t="str">
        <f aca="false">IF(B6="","",MID(B6,5,40)&amp;LEFT(B6,4))</f>
        <v>80000000608010167519SA04</v>
      </c>
      <c r="M6" s="19" t="b">
        <f aca="false">IF(L6="","",NOT(ISNUMBER(FIND("#",AV6))))</f>
        <v>1</v>
      </c>
      <c r="N6" s="18" t="str">
        <f aca="false">IF(LEN($L6)&lt;1,"",IF(ISNUMBER(FIND(MID($L6,1,1),"0123456789")),MID($L6,1,1),IF(ISNUMBER(FIND(MID($L6,1,1),"ABCDEFGHIJKLMNOPQRSTUVWXYZ")),CODE(MID($L6,1,1))-55,"#")))</f>
        <v>8</v>
      </c>
      <c r="O6" s="18" t="str">
        <f aca="false">IF(LEN($L6)&lt;2,"",IF(ISNUMBER(FIND(MID($L6,2,1),"0123456789")),MID($L6,2,1),IF(ISNUMBER(FIND(MID($L6,2,1),"ABCDEFGHIJKLMNOPQRSTUVWXYZ")),CODE(MID($L6,2,1))-55,"#")))</f>
        <v>0</v>
      </c>
      <c r="P6" s="18" t="str">
        <f aca="false">IF(LEN($L6)&lt;3,"",IF(ISNUMBER(FIND(MID($L6,3,1),"0123456789")),MID($L6,3,1),IF(ISNUMBER(FIND(MID($L6,3,1),"ABCDEFGHIJKLMNOPQRSTUVWXYZ")),CODE(MID($L6,3,1))-55,"#")))</f>
        <v>0</v>
      </c>
      <c r="Q6" s="18" t="str">
        <f aca="false">IF(LEN($L6)&lt;4,"",IF(ISNUMBER(FIND(MID($L6,4,1),"0123456789")),MID($L6,4,1),IF(ISNUMBER(FIND(MID($L6,4,1),"ABCDEFGHIJKLMNOPQRSTUVWXYZ")),CODE(MID($L6,4,1))-55,"#")))</f>
        <v>0</v>
      </c>
      <c r="R6" s="18" t="str">
        <f aca="false">IF(LEN($L6)&lt;5,"",IF(ISNUMBER(FIND(MID($L6,5,1),"0123456789")),MID($L6,5,1),IF(ISNUMBER(FIND(MID($L6,5,1),"ABCDEFGHIJKLMNOPQRSTUVWXYZ")),CODE(MID($L6,5,1))-55,"#")))</f>
        <v>0</v>
      </c>
      <c r="S6" s="18" t="str">
        <f aca="false">IF(LEN($L6)&lt;6,"",IF(ISNUMBER(FIND(MID($L6,6,1),"0123456789")),MID($L6,6,1),IF(ISNUMBER(FIND(MID($L6,6,1),"ABCDEFGHIJKLMNOPQRSTUVWXYZ")),CODE(MID($L6,6,1))-55,"#")))</f>
        <v>0</v>
      </c>
      <c r="T6" s="18" t="str">
        <f aca="false">IF(LEN($L6)&lt;7,"",IF(ISNUMBER(FIND(MID($L6,7,1),"0123456789")),MID($L6,7,1),IF(ISNUMBER(FIND(MID($L6,7,1),"ABCDEFGHIJKLMNOPQRSTUVWXYZ")),CODE(MID($L6,7,1))-55,"#")))</f>
        <v>0</v>
      </c>
      <c r="U6" s="18" t="str">
        <f aca="false">IF(LEN($L6)&lt;8,"",IF(ISNUMBER(FIND(MID($L6,8,1),"0123456789")),MID($L6,8,1),IF(ISNUMBER(FIND(MID($L6,8,1),"ABCDEFGHIJKLMNOPQRSTUVWXYZ")),CODE(MID($L6,8,1))-55,"#")))</f>
        <v>0</v>
      </c>
      <c r="V6" s="18" t="str">
        <f aca="false">IF(LEN($L6)&lt;9,"",IF(ISNUMBER(FIND(MID($L6,9,1),"0123456789")),MID($L6,9,1),IF(ISNUMBER(FIND(MID($L6,9,1),"ABCDEFGHIJKLMNOPQRSTUVWXYZ")),CODE(MID($L6,9,1))-55,"#")))</f>
        <v>6</v>
      </c>
      <c r="W6" s="18" t="str">
        <f aca="false">IF(LEN($L6)&lt;10,"",IF(ISNUMBER(FIND(MID($L6,10,1),"0123456789")),MID($L6,10,1),IF(ISNUMBER(FIND(MID($L6,10,1),"ABCDEFGHIJKLMNOPQRSTUVWXYZ")),CODE(MID($L6,10,1))-55,"#")))</f>
        <v>0</v>
      </c>
      <c r="X6" s="18" t="str">
        <f aca="false">IF(LEN($L6)&lt;11,"",IF(ISNUMBER(FIND(MID($L6,11,1),"0123456789")),MID($L6,11,1),IF(ISNUMBER(FIND(MID($L6,11,1),"ABCDEFGHIJKLMNOPQRSTUVWXYZ")),CODE(MID($L6,11,1))-55,"#")))</f>
        <v>8</v>
      </c>
      <c r="Y6" s="18" t="str">
        <f aca="false">IF(LEN($L6)&lt;12,"",IF(ISNUMBER(FIND(MID($L6,12,1),"0123456789")),MID($L6,12,1),IF(ISNUMBER(FIND(MID($L6,12,1),"ABCDEFGHIJKLMNOPQRSTUVWXYZ")),CODE(MID($L6,12,1))-55,"#")))</f>
        <v>0</v>
      </c>
      <c r="Z6" s="18" t="str">
        <f aca="false">IF(LEN($L6)&lt;13,"",IF(ISNUMBER(FIND(MID($L6,13,1),"0123456789")),MID($L6,13,1),IF(ISNUMBER(FIND(MID($L6,13,1),"ABCDEFGHIJKLMNOPQRSTUVWXYZ")),CODE(MID($L6,13,1))-55,"#")))</f>
        <v>1</v>
      </c>
      <c r="AA6" s="18" t="str">
        <f aca="false">IF(LEN($L6)&lt;14,"",IF(ISNUMBER(FIND(MID($L6,14,1),"0123456789")),MID($L6,14,1),IF(ISNUMBER(FIND(MID($L6,14,1),"ABCDEFGHIJKLMNOPQRSTUVWXYZ")),CODE(MID($L6,14,1))-55,"#")))</f>
        <v>0</v>
      </c>
      <c r="AB6" s="18" t="str">
        <f aca="false">IF(LEN($L6)&lt;15,"",IF(ISNUMBER(FIND(MID($L6,15,1),"0123456789")),MID($L6,15,1),IF(ISNUMBER(FIND(MID($L6,15,1),"ABCDEFGHIJKLMNOPQRSTUVWXYZ")),CODE(MID($L6,15,1))-55,"#")))</f>
        <v>1</v>
      </c>
      <c r="AC6" s="18" t="str">
        <f aca="false">IF(LEN($L6)&lt;16,"",IF(ISNUMBER(FIND(MID($L6,16,1),"0123456789")),MID($L6,16,1),IF(ISNUMBER(FIND(MID($L6,16,1),"ABCDEFGHIJKLMNOPQRSTUVWXYZ")),CODE(MID($L6,16,1))-55,"#")))</f>
        <v>6</v>
      </c>
      <c r="AD6" s="18" t="str">
        <f aca="false">IF(LEN($L6)&lt;17,"",IF(ISNUMBER(FIND(MID($L6,17,1),"0123456789")),MID($L6,17,1),IF(ISNUMBER(FIND(MID($L6,17,1),"ABCDEFGHIJKLMNOPQRSTUVWXYZ")),CODE(MID($L6,17,1))-55,"#")))</f>
        <v>7</v>
      </c>
      <c r="AE6" s="18" t="str">
        <f aca="false">IF(LEN($L6)&lt;18,"",IF(ISNUMBER(FIND(MID($L6,18,1),"0123456789")),MID($L6,18,1),IF(ISNUMBER(FIND(MID($L6,18,1),"ABCDEFGHIJKLMNOPQRSTUVWXYZ")),CODE(MID($L6,18,1))-55,"#")))</f>
        <v>5</v>
      </c>
      <c r="AF6" s="18" t="str">
        <f aca="false">IF(LEN($L6)&lt;19,"",IF(ISNUMBER(FIND(MID($L6,19,1),"0123456789")),MID($L6,19,1),IF(ISNUMBER(FIND(MID($L6,19,1),"ABCDEFGHIJKLMNOPQRSTUVWXYZ")),CODE(MID($L6,19,1))-55,"#")))</f>
        <v>1</v>
      </c>
      <c r="AG6" s="18" t="str">
        <f aca="false">IF(LEN($L6)&lt;20,"",IF(ISNUMBER(FIND(MID($L6,20,1),"0123456789")),MID($L6,20,1),IF(ISNUMBER(FIND(MID($L6,20,1),"ABCDEFGHIJKLMNOPQRSTUVWXYZ")),CODE(MID($L6,20,1))-55,"#")))</f>
        <v>9</v>
      </c>
      <c r="AH6" s="18" t="n">
        <f aca="false">IF(LEN($L6)&lt;21,"",IF(ISNUMBER(FIND(MID($L6,21,1),"0123456789")),MID($L6,21,1),IF(ISNUMBER(FIND(MID($L6,21,1),"ABCDEFGHIJKLMNOPQRSTUVWXYZ")),CODE(MID($L6,21,1))-55,"#")))</f>
        <v>28</v>
      </c>
      <c r="AI6" s="18" t="n">
        <f aca="false">IF(LEN($L6)&lt;22,"",IF(ISNUMBER(FIND(MID($L6,22,1),"0123456789")),MID($L6,22,1),IF(ISNUMBER(FIND(MID($L6,22,1),"ABCDEFGHIJKLMNOPQRSTUVWXYZ")),CODE(MID($L6,22,1))-55,"#")))</f>
        <v>10</v>
      </c>
      <c r="AJ6" s="18" t="str">
        <f aca="false">IF(LEN($L6)&lt;23,"",IF(ISNUMBER(FIND(MID($L6,23,1),"0123456789")),MID($L6,23,1),IF(ISNUMBER(FIND(MID($L6,23,1),"ABCDEFGHIJKLMNOPQRSTUVWXYZ")),CODE(MID($L6,23,1))-55,"#")))</f>
        <v>0</v>
      </c>
      <c r="AK6" s="18" t="str">
        <f aca="false">IF(LEN($L6)&lt;24,"",IF(ISNUMBER(FIND(MID($L6,24,1),"0123456789")),MID($L6,24,1),IF(ISNUMBER(FIND(MID($L6,24,1),"ABCDEFGHIJKLMNOPQRSTUVWXYZ")),CODE(MID($L6,24,1))-55,"#")))</f>
        <v>4</v>
      </c>
      <c r="AL6" s="18" t="str">
        <f aca="false">IF(LEN($L6)&lt;25,"",IF(ISNUMBER(FIND(MID($L6,25,1),"0123456789")),MID($L6,25,1),IF(ISNUMBER(FIND(MID($L6,25,1),"ABCDEFGHIJKLMNOPQRSTUVWXYZ")),CODE(MID($L6,25,1))-55,"#")))</f>
        <v/>
      </c>
      <c r="AM6" s="18" t="str">
        <f aca="false">IF(LEN($L6)&lt;26,"",IF(ISNUMBER(FIND(MID($L6,26,1),"0123456789")),MID($L6,26,1),IF(ISNUMBER(FIND(MID($L6,26,1),"ABCDEFGHIJKLMNOPQRSTUVWXYZ")),CODE(MID($L6,26,1))-55,"#")))</f>
        <v/>
      </c>
      <c r="AN6" s="18" t="str">
        <f aca="false">IF(LEN($L6)&lt;27,"",IF(ISNUMBER(FIND(MID($L6,27,1),"0123456789")),MID($L6,27,1),IF(ISNUMBER(FIND(MID($L6,27,1),"ABCDEFGHIJKLMNOPQRSTUVWXYZ")),CODE(MID($L6,27,1))-55,"#")))</f>
        <v/>
      </c>
      <c r="AO6" s="18" t="str">
        <f aca="false">IF(LEN($L6)&lt;28,"",IF(ISNUMBER(FIND(MID($L6,28,1),"0123456789")),MID($L6,28,1),IF(ISNUMBER(FIND(MID($L6,28,1),"ABCDEFGHIJKLMNOPQRSTUVWXYZ")),CODE(MID($L6,28,1))-55,"#")))</f>
        <v/>
      </c>
      <c r="AP6" s="18" t="str">
        <f aca="false">IF(LEN($L6)&lt;29,"",IF(ISNUMBER(FIND(MID($L6,29,1),"0123456789")),MID($L6,29,1),IF(ISNUMBER(FIND(MID($L6,29,1),"ABCDEFGHIJKLMNOPQRSTUVWXYZ")),CODE(MID($L6,29,1))-55,"#")))</f>
        <v/>
      </c>
      <c r="AQ6" s="18" t="str">
        <f aca="false">IF(LEN($L6)&lt;30,"",IF(ISNUMBER(FIND(MID($L6,30,1),"0123456789")),MID($L6,30,1),IF(ISNUMBER(FIND(MID($L6,30,1),"ABCDEFGHIJKLMNOPQRSTUVWXYZ")),CODE(MID($L6,30,1))-55,"#")))</f>
        <v/>
      </c>
      <c r="AR6" s="18" t="str">
        <f aca="false">IF(LEN($L6)&lt;31,"",IF(ISNUMBER(FIND(MID($L6,31,1),"0123456789")),MID($L6,31,1),IF(ISNUMBER(FIND(MID($L6,31,1),"ABCDEFGHIJKLMNOPQRSTUVWXYZ")),CODE(MID($L6,31,1))-55,"#")))</f>
        <v/>
      </c>
      <c r="AS6" s="18" t="str">
        <f aca="false">IF(LEN($L6)&lt;32,"",IF(ISNUMBER(FIND(MID($L6,32,1),"0123456789")),MID($L6,32,1),IF(ISNUMBER(FIND(MID($L6,32,1),"ABCDEFGHIJKLMNOPQRSTUVWXYZ")),CODE(MID($L6,32,1))-55,"#")))</f>
        <v/>
      </c>
      <c r="AT6" s="18" t="str">
        <f aca="false">IF(LEN($L6)&lt;33,"",IF(ISNUMBER(FIND(MID($L6,33,1),"0123456789")),MID($L6,33,1),IF(ISNUMBER(FIND(MID($L6,33,1),"ABCDEFGHIJKLMNOPQRSTUVWXYZ")),CODE(MID($L6,33,1))-55,"#")))</f>
        <v/>
      </c>
      <c r="AU6" s="18" t="str">
        <f aca="false">IF(LEN($L6)&lt;34,"",IF(ISNUMBER(FIND(MID($L6,34,1),"0123456789")),MID($L6,34,1),IF(ISNUMBER(FIND(MID($L6,34,1),"ABCDEFGHIJKLMNOPQRSTUVWXYZ")),CODE(MID($L6,34,1))-55,"#")))</f>
        <v/>
      </c>
      <c r="AV6" s="18" t="str">
        <f aca="false">_xlfn.CONCAT(N6:AU6)</f>
        <v>80000000608010167519281004</v>
      </c>
      <c r="AW6" s="18" t="n">
        <f aca="false">IF(OR(AV6="",M6=FALSE()),"",MOD(VALUE(MID(AV6,1,9)),97))</f>
        <v>72</v>
      </c>
      <c r="AX6" s="18" t="n">
        <f aca="false">IF(AW6="","",MOD(VALUE(AW6&amp;MID(AV6,10,7)),97))</f>
        <v>30</v>
      </c>
      <c r="AY6" s="18" t="n">
        <f aca="false">IF(AX6="","",MOD(VALUE(AX6&amp;MID(AV6,17,7)),97))</f>
        <v>84</v>
      </c>
      <c r="AZ6" s="18" t="n">
        <f aca="false">IF(AY6="","",MOD(VALUE(AY6&amp;MID(AV6,24,7)),97))</f>
        <v>2</v>
      </c>
      <c r="BA6" s="18" t="n">
        <f aca="false">IF(AZ6="","",MOD(VALUE(AZ6&amp;MID(AV6,31,7)),97))</f>
        <v>2</v>
      </c>
      <c r="BB6" s="18" t="n">
        <f aca="false">IF(BA6="","",MOD(VALUE(BA6&amp;MID(AV6,38,7)),97))</f>
        <v>2</v>
      </c>
      <c r="BC6" s="18" t="n">
        <f aca="false">IF(BB6="","",MOD(VALUE(BB6&amp;MID(AV6,45,7)),97))</f>
        <v>2</v>
      </c>
      <c r="BD6" s="18" t="n">
        <f aca="false">IF(BC6="","",MOD(VALUE(BC6&amp;MID(AV6,52,7)),97))</f>
        <v>2</v>
      </c>
      <c r="BE6" s="18" t="n">
        <f aca="false">IF(BD6="","",MOD(VALUE(BD6&amp;MID(AV6,59,7)),97))</f>
        <v>2</v>
      </c>
      <c r="BF6" s="18" t="n">
        <f aca="false">IF(BE6="","",MOD(VALUE(BE6&amp;MID(AV6,66,7)),97))</f>
        <v>2</v>
      </c>
    </row>
    <row r="7" customFormat="false" ht="26.1" hidden="false" customHeight="false" outlineLevel="0" collapsed="false">
      <c r="A7" s="11" t="s">
        <v>226</v>
      </c>
      <c r="B7" s="5" t="str">
        <f aca="false">UPPER(SUBSTITUTE(SUBSTITUTE(SUBSTITUTE(TRIM(A7)," ",""),"-",""),CHAR(160),""))</f>
        <v>SA0380000000608010167591</v>
      </c>
      <c r="C7" s="5" t="n">
        <f aca="false">IF(B7="","",LEN(B7))</f>
        <v>24</v>
      </c>
      <c r="D7" s="5" t="str">
        <f aca="false">IF(B7="","",LEFT(B7,2))</f>
        <v>SA</v>
      </c>
      <c r="E7" s="5" t="str">
        <f aca="false">IF(B7="","",MID(B7,3,2))</f>
        <v>03</v>
      </c>
      <c r="F7" s="5" t="str">
        <f aca="false">IF(B7="","",MID(B7,5,2))</f>
        <v>80</v>
      </c>
      <c r="G7" s="5" t="str">
        <f aca="false">IF(B7="","",IFERROR(INDEX('رموز البنوك'!$C$5:$C$30,MATCH(F7,'رموز البنوك'!$B$5:$B$30,0)),"رمز غير معروف"))</f>
        <v>مصرف الراجحي</v>
      </c>
      <c r="H7" s="5" t="n">
        <f aca="false">BF7</f>
        <v>5</v>
      </c>
      <c r="I7" s="5" t="str">
        <f aca="false">IF(OR(H7="",NOT(AND(ISNUMBER(FIND(MID(B7,3,1),"0123456789")),ISNUMBER(FIND(MID(B7,4,1),"0123456789"))))),"",TEXT(98-MOD(H7-VALUE(E7),97),"00"))</f>
        <v>96</v>
      </c>
      <c r="J7" s="4" t="str">
        <f aca="false">IF(B7="","",IF(LEFT(K7,10)="آيبان صحيح","صحيح ✓","غير صحيح ✗"))</f>
        <v>غير صحيح ✗</v>
      </c>
      <c r="K7" s="10" t="str">
        <f aca="false">IF(B7="","",IF(M7=FALSE(),"يحتوي رموزاً غير مسموحة (المسموح A–Z و 0–9 فقط)",IF(D7&lt;&gt;"SA","رمز الدولة "&amp;D7&amp;" — هذا المدقق للآيبان السعودي SA",IF(C7&lt;&gt;24,"الطول "&amp;C7&amp;" خانة والمطلوب 24",IF(NOT(AND(ISNUMBER(FIND(MID(B7,3,1),"0123456789")),ISNUMBER(FIND(MID(B7,4,1),"0123456789")))),"خانتا التدقيق يجب أن تكونا رقمين",IF(ISERROR(VALUE(MID(B7,5,20))),"رمز البنك ورقم الحساب يجب أن يكونا أرقاماً",IF(H7&lt;&gt;1,"فشل اختبار MOD-97 (الباقي "&amp;H7&amp;" وليس 1) — خطأ في كتابة الرقم؛ خانتا التدقيق الصحيحتان لهذا الحساب "&amp;I7,IF(G7="رمز غير معروف","اجتاز MOD-97 لكن رمز البنك "&amp;F7&amp;" غير مسجل في جدول البنوك","آيبان صحيح — "&amp;G7))))))))</f>
        <v>فشل اختبار MOD-97 (الباقي 5 وليس 1) — خطأ في كتابة الرقم؛ خانتا التدقيق الصحيحتان لهذا الحساب 96</v>
      </c>
      <c r="L7" s="18" t="str">
        <f aca="false">IF(B7="","",MID(B7,5,40)&amp;LEFT(B7,4))</f>
        <v>80000000608010167591SA03</v>
      </c>
      <c r="M7" s="19" t="b">
        <f aca="false">IF(L7="","",NOT(ISNUMBER(FIND("#",AV7))))</f>
        <v>1</v>
      </c>
      <c r="N7" s="18" t="str">
        <f aca="false">IF(LEN($L7)&lt;1,"",IF(ISNUMBER(FIND(MID($L7,1,1),"0123456789")),MID($L7,1,1),IF(ISNUMBER(FIND(MID($L7,1,1),"ABCDEFGHIJKLMNOPQRSTUVWXYZ")),CODE(MID($L7,1,1))-55,"#")))</f>
        <v>8</v>
      </c>
      <c r="O7" s="18" t="str">
        <f aca="false">IF(LEN($L7)&lt;2,"",IF(ISNUMBER(FIND(MID($L7,2,1),"0123456789")),MID($L7,2,1),IF(ISNUMBER(FIND(MID($L7,2,1),"ABCDEFGHIJKLMNOPQRSTUVWXYZ")),CODE(MID($L7,2,1))-55,"#")))</f>
        <v>0</v>
      </c>
      <c r="P7" s="18" t="str">
        <f aca="false">IF(LEN($L7)&lt;3,"",IF(ISNUMBER(FIND(MID($L7,3,1),"0123456789")),MID($L7,3,1),IF(ISNUMBER(FIND(MID($L7,3,1),"ABCDEFGHIJKLMNOPQRSTUVWXYZ")),CODE(MID($L7,3,1))-55,"#")))</f>
        <v>0</v>
      </c>
      <c r="Q7" s="18" t="str">
        <f aca="false">IF(LEN($L7)&lt;4,"",IF(ISNUMBER(FIND(MID($L7,4,1),"0123456789")),MID($L7,4,1),IF(ISNUMBER(FIND(MID($L7,4,1),"ABCDEFGHIJKLMNOPQRSTUVWXYZ")),CODE(MID($L7,4,1))-55,"#")))</f>
        <v>0</v>
      </c>
      <c r="R7" s="18" t="str">
        <f aca="false">IF(LEN($L7)&lt;5,"",IF(ISNUMBER(FIND(MID($L7,5,1),"0123456789")),MID($L7,5,1),IF(ISNUMBER(FIND(MID($L7,5,1),"ABCDEFGHIJKLMNOPQRSTUVWXYZ")),CODE(MID($L7,5,1))-55,"#")))</f>
        <v>0</v>
      </c>
      <c r="S7" s="18" t="str">
        <f aca="false">IF(LEN($L7)&lt;6,"",IF(ISNUMBER(FIND(MID($L7,6,1),"0123456789")),MID($L7,6,1),IF(ISNUMBER(FIND(MID($L7,6,1),"ABCDEFGHIJKLMNOPQRSTUVWXYZ")),CODE(MID($L7,6,1))-55,"#")))</f>
        <v>0</v>
      </c>
      <c r="T7" s="18" t="str">
        <f aca="false">IF(LEN($L7)&lt;7,"",IF(ISNUMBER(FIND(MID($L7,7,1),"0123456789")),MID($L7,7,1),IF(ISNUMBER(FIND(MID($L7,7,1),"ABCDEFGHIJKLMNOPQRSTUVWXYZ")),CODE(MID($L7,7,1))-55,"#")))</f>
        <v>0</v>
      </c>
      <c r="U7" s="18" t="str">
        <f aca="false">IF(LEN($L7)&lt;8,"",IF(ISNUMBER(FIND(MID($L7,8,1),"0123456789")),MID($L7,8,1),IF(ISNUMBER(FIND(MID($L7,8,1),"ABCDEFGHIJKLMNOPQRSTUVWXYZ")),CODE(MID($L7,8,1))-55,"#")))</f>
        <v>0</v>
      </c>
      <c r="V7" s="18" t="str">
        <f aca="false">IF(LEN($L7)&lt;9,"",IF(ISNUMBER(FIND(MID($L7,9,1),"0123456789")),MID($L7,9,1),IF(ISNUMBER(FIND(MID($L7,9,1),"ABCDEFGHIJKLMNOPQRSTUVWXYZ")),CODE(MID($L7,9,1))-55,"#")))</f>
        <v>6</v>
      </c>
      <c r="W7" s="18" t="str">
        <f aca="false">IF(LEN($L7)&lt;10,"",IF(ISNUMBER(FIND(MID($L7,10,1),"0123456789")),MID($L7,10,1),IF(ISNUMBER(FIND(MID($L7,10,1),"ABCDEFGHIJKLMNOPQRSTUVWXYZ")),CODE(MID($L7,10,1))-55,"#")))</f>
        <v>0</v>
      </c>
      <c r="X7" s="18" t="str">
        <f aca="false">IF(LEN($L7)&lt;11,"",IF(ISNUMBER(FIND(MID($L7,11,1),"0123456789")),MID($L7,11,1),IF(ISNUMBER(FIND(MID($L7,11,1),"ABCDEFGHIJKLMNOPQRSTUVWXYZ")),CODE(MID($L7,11,1))-55,"#")))</f>
        <v>8</v>
      </c>
      <c r="Y7" s="18" t="str">
        <f aca="false">IF(LEN($L7)&lt;12,"",IF(ISNUMBER(FIND(MID($L7,12,1),"0123456789")),MID($L7,12,1),IF(ISNUMBER(FIND(MID($L7,12,1),"ABCDEFGHIJKLMNOPQRSTUVWXYZ")),CODE(MID($L7,12,1))-55,"#")))</f>
        <v>0</v>
      </c>
      <c r="Z7" s="18" t="str">
        <f aca="false">IF(LEN($L7)&lt;13,"",IF(ISNUMBER(FIND(MID($L7,13,1),"0123456789")),MID($L7,13,1),IF(ISNUMBER(FIND(MID($L7,13,1),"ABCDEFGHIJKLMNOPQRSTUVWXYZ")),CODE(MID($L7,13,1))-55,"#")))</f>
        <v>1</v>
      </c>
      <c r="AA7" s="18" t="str">
        <f aca="false">IF(LEN($L7)&lt;14,"",IF(ISNUMBER(FIND(MID($L7,14,1),"0123456789")),MID($L7,14,1),IF(ISNUMBER(FIND(MID($L7,14,1),"ABCDEFGHIJKLMNOPQRSTUVWXYZ")),CODE(MID($L7,14,1))-55,"#")))</f>
        <v>0</v>
      </c>
      <c r="AB7" s="18" t="str">
        <f aca="false">IF(LEN($L7)&lt;15,"",IF(ISNUMBER(FIND(MID($L7,15,1),"0123456789")),MID($L7,15,1),IF(ISNUMBER(FIND(MID($L7,15,1),"ABCDEFGHIJKLMNOPQRSTUVWXYZ")),CODE(MID($L7,15,1))-55,"#")))</f>
        <v>1</v>
      </c>
      <c r="AC7" s="18" t="str">
        <f aca="false">IF(LEN($L7)&lt;16,"",IF(ISNUMBER(FIND(MID($L7,16,1),"0123456789")),MID($L7,16,1),IF(ISNUMBER(FIND(MID($L7,16,1),"ABCDEFGHIJKLMNOPQRSTUVWXYZ")),CODE(MID($L7,16,1))-55,"#")))</f>
        <v>6</v>
      </c>
      <c r="AD7" s="18" t="str">
        <f aca="false">IF(LEN($L7)&lt;17,"",IF(ISNUMBER(FIND(MID($L7,17,1),"0123456789")),MID($L7,17,1),IF(ISNUMBER(FIND(MID($L7,17,1),"ABCDEFGHIJKLMNOPQRSTUVWXYZ")),CODE(MID($L7,17,1))-55,"#")))</f>
        <v>7</v>
      </c>
      <c r="AE7" s="18" t="str">
        <f aca="false">IF(LEN($L7)&lt;18,"",IF(ISNUMBER(FIND(MID($L7,18,1),"0123456789")),MID($L7,18,1),IF(ISNUMBER(FIND(MID($L7,18,1),"ABCDEFGHIJKLMNOPQRSTUVWXYZ")),CODE(MID($L7,18,1))-55,"#")))</f>
        <v>5</v>
      </c>
      <c r="AF7" s="18" t="str">
        <f aca="false">IF(LEN($L7)&lt;19,"",IF(ISNUMBER(FIND(MID($L7,19,1),"0123456789")),MID($L7,19,1),IF(ISNUMBER(FIND(MID($L7,19,1),"ABCDEFGHIJKLMNOPQRSTUVWXYZ")),CODE(MID($L7,19,1))-55,"#")))</f>
        <v>9</v>
      </c>
      <c r="AG7" s="18" t="str">
        <f aca="false">IF(LEN($L7)&lt;20,"",IF(ISNUMBER(FIND(MID($L7,20,1),"0123456789")),MID($L7,20,1),IF(ISNUMBER(FIND(MID($L7,20,1),"ABCDEFGHIJKLMNOPQRSTUVWXYZ")),CODE(MID($L7,20,1))-55,"#")))</f>
        <v>1</v>
      </c>
      <c r="AH7" s="18" t="n">
        <f aca="false">IF(LEN($L7)&lt;21,"",IF(ISNUMBER(FIND(MID($L7,21,1),"0123456789")),MID($L7,21,1),IF(ISNUMBER(FIND(MID($L7,21,1),"ABCDEFGHIJKLMNOPQRSTUVWXYZ")),CODE(MID($L7,21,1))-55,"#")))</f>
        <v>28</v>
      </c>
      <c r="AI7" s="18" t="n">
        <f aca="false">IF(LEN($L7)&lt;22,"",IF(ISNUMBER(FIND(MID($L7,22,1),"0123456789")),MID($L7,22,1),IF(ISNUMBER(FIND(MID($L7,22,1),"ABCDEFGHIJKLMNOPQRSTUVWXYZ")),CODE(MID($L7,22,1))-55,"#")))</f>
        <v>10</v>
      </c>
      <c r="AJ7" s="18" t="str">
        <f aca="false">IF(LEN($L7)&lt;23,"",IF(ISNUMBER(FIND(MID($L7,23,1),"0123456789")),MID($L7,23,1),IF(ISNUMBER(FIND(MID($L7,23,1),"ABCDEFGHIJKLMNOPQRSTUVWXYZ")),CODE(MID($L7,23,1))-55,"#")))</f>
        <v>0</v>
      </c>
      <c r="AK7" s="18" t="str">
        <f aca="false">IF(LEN($L7)&lt;24,"",IF(ISNUMBER(FIND(MID($L7,24,1),"0123456789")),MID($L7,24,1),IF(ISNUMBER(FIND(MID($L7,24,1),"ABCDEFGHIJKLMNOPQRSTUVWXYZ")),CODE(MID($L7,24,1))-55,"#")))</f>
        <v>3</v>
      </c>
      <c r="AL7" s="18" t="str">
        <f aca="false">IF(LEN($L7)&lt;25,"",IF(ISNUMBER(FIND(MID($L7,25,1),"0123456789")),MID($L7,25,1),IF(ISNUMBER(FIND(MID($L7,25,1),"ABCDEFGHIJKLMNOPQRSTUVWXYZ")),CODE(MID($L7,25,1))-55,"#")))</f>
        <v/>
      </c>
      <c r="AM7" s="18" t="str">
        <f aca="false">IF(LEN($L7)&lt;26,"",IF(ISNUMBER(FIND(MID($L7,26,1),"0123456789")),MID($L7,26,1),IF(ISNUMBER(FIND(MID($L7,26,1),"ABCDEFGHIJKLMNOPQRSTUVWXYZ")),CODE(MID($L7,26,1))-55,"#")))</f>
        <v/>
      </c>
      <c r="AN7" s="18" t="str">
        <f aca="false">IF(LEN($L7)&lt;27,"",IF(ISNUMBER(FIND(MID($L7,27,1),"0123456789")),MID($L7,27,1),IF(ISNUMBER(FIND(MID($L7,27,1),"ABCDEFGHIJKLMNOPQRSTUVWXYZ")),CODE(MID($L7,27,1))-55,"#")))</f>
        <v/>
      </c>
      <c r="AO7" s="18" t="str">
        <f aca="false">IF(LEN($L7)&lt;28,"",IF(ISNUMBER(FIND(MID($L7,28,1),"0123456789")),MID($L7,28,1),IF(ISNUMBER(FIND(MID($L7,28,1),"ABCDEFGHIJKLMNOPQRSTUVWXYZ")),CODE(MID($L7,28,1))-55,"#")))</f>
        <v/>
      </c>
      <c r="AP7" s="18" t="str">
        <f aca="false">IF(LEN($L7)&lt;29,"",IF(ISNUMBER(FIND(MID($L7,29,1),"0123456789")),MID($L7,29,1),IF(ISNUMBER(FIND(MID($L7,29,1),"ABCDEFGHIJKLMNOPQRSTUVWXYZ")),CODE(MID($L7,29,1))-55,"#")))</f>
        <v/>
      </c>
      <c r="AQ7" s="18" t="str">
        <f aca="false">IF(LEN($L7)&lt;30,"",IF(ISNUMBER(FIND(MID($L7,30,1),"0123456789")),MID($L7,30,1),IF(ISNUMBER(FIND(MID($L7,30,1),"ABCDEFGHIJKLMNOPQRSTUVWXYZ")),CODE(MID($L7,30,1))-55,"#")))</f>
        <v/>
      </c>
      <c r="AR7" s="18" t="str">
        <f aca="false">IF(LEN($L7)&lt;31,"",IF(ISNUMBER(FIND(MID($L7,31,1),"0123456789")),MID($L7,31,1),IF(ISNUMBER(FIND(MID($L7,31,1),"ABCDEFGHIJKLMNOPQRSTUVWXYZ")),CODE(MID($L7,31,1))-55,"#")))</f>
        <v/>
      </c>
      <c r="AS7" s="18" t="str">
        <f aca="false">IF(LEN($L7)&lt;32,"",IF(ISNUMBER(FIND(MID($L7,32,1),"0123456789")),MID($L7,32,1),IF(ISNUMBER(FIND(MID($L7,32,1),"ABCDEFGHIJKLMNOPQRSTUVWXYZ")),CODE(MID($L7,32,1))-55,"#")))</f>
        <v/>
      </c>
      <c r="AT7" s="18" t="str">
        <f aca="false">IF(LEN($L7)&lt;33,"",IF(ISNUMBER(FIND(MID($L7,33,1),"0123456789")),MID($L7,33,1),IF(ISNUMBER(FIND(MID($L7,33,1),"ABCDEFGHIJKLMNOPQRSTUVWXYZ")),CODE(MID($L7,33,1))-55,"#")))</f>
        <v/>
      </c>
      <c r="AU7" s="18" t="str">
        <f aca="false">IF(LEN($L7)&lt;34,"",IF(ISNUMBER(FIND(MID($L7,34,1),"0123456789")),MID($L7,34,1),IF(ISNUMBER(FIND(MID($L7,34,1),"ABCDEFGHIJKLMNOPQRSTUVWXYZ")),CODE(MID($L7,34,1))-55,"#")))</f>
        <v/>
      </c>
      <c r="AV7" s="18" t="str">
        <f aca="false">_xlfn.CONCAT(N7:AU7)</f>
        <v>80000000608010167591281003</v>
      </c>
      <c r="AW7" s="18" t="n">
        <f aca="false">IF(OR(AV7="",M7=FALSE()),"",MOD(VALUE(MID(AV7,1,9)),97))</f>
        <v>72</v>
      </c>
      <c r="AX7" s="18" t="n">
        <f aca="false">IF(AW7="","",MOD(VALUE(AW7&amp;MID(AV7,10,7)),97))</f>
        <v>30</v>
      </c>
      <c r="AY7" s="18" t="n">
        <f aca="false">IF(AX7="","",MOD(VALUE(AX7&amp;MID(AV7,17,7)),97))</f>
        <v>13</v>
      </c>
      <c r="AZ7" s="18" t="n">
        <f aca="false">IF(AY7="","",MOD(VALUE(AY7&amp;MID(AV7,24,7)),97))</f>
        <v>5</v>
      </c>
      <c r="BA7" s="18" t="n">
        <f aca="false">IF(AZ7="","",MOD(VALUE(AZ7&amp;MID(AV7,31,7)),97))</f>
        <v>5</v>
      </c>
      <c r="BB7" s="18" t="n">
        <f aca="false">IF(BA7="","",MOD(VALUE(BA7&amp;MID(AV7,38,7)),97))</f>
        <v>5</v>
      </c>
      <c r="BC7" s="18" t="n">
        <f aca="false">IF(BB7="","",MOD(VALUE(BB7&amp;MID(AV7,45,7)),97))</f>
        <v>5</v>
      </c>
      <c r="BD7" s="18" t="n">
        <f aca="false">IF(BC7="","",MOD(VALUE(BC7&amp;MID(AV7,52,7)),97))</f>
        <v>5</v>
      </c>
      <c r="BE7" s="18" t="n">
        <f aca="false">IF(BD7="","",MOD(VALUE(BD7&amp;MID(AV7,59,7)),97))</f>
        <v>5</v>
      </c>
      <c r="BF7" s="18" t="n">
        <f aca="false">IF(BE7="","",MOD(VALUE(BE7&amp;MID(AV7,66,7)),97))</f>
        <v>5</v>
      </c>
    </row>
    <row r="8" customFormat="false" ht="15" hidden="false" customHeight="false" outlineLevel="0" collapsed="false">
      <c r="A8" s="11" t="s">
        <v>227</v>
      </c>
      <c r="B8" s="5" t="str">
        <f aca="false">UPPER(SUBSTITUTE(SUBSTITUTE(SUBSTITUTE(TRIM(A8)," ",""),"-",""),CHAR(160),""))</f>
        <v>SA4420000001234567891234</v>
      </c>
      <c r="C8" s="5" t="n">
        <f aca="false">IF(B8="","",LEN(B8))</f>
        <v>24</v>
      </c>
      <c r="D8" s="5" t="str">
        <f aca="false">IF(B8="","",LEFT(B8,2))</f>
        <v>SA</v>
      </c>
      <c r="E8" s="5" t="str">
        <f aca="false">IF(B8="","",MID(B8,3,2))</f>
        <v>44</v>
      </c>
      <c r="F8" s="5" t="str">
        <f aca="false">IF(B8="","",MID(B8,5,2))</f>
        <v>20</v>
      </c>
      <c r="G8" s="5" t="str">
        <f aca="false">IF(B8="","",IFERROR(INDEX('رموز البنوك'!$C$5:$C$30,MATCH(F8,'رموز البنوك'!$B$5:$B$30,0)),"رمز غير معروف"))</f>
        <v>بنك الرياض</v>
      </c>
      <c r="H8" s="5" t="n">
        <f aca="false">BF8</f>
        <v>1</v>
      </c>
      <c r="I8" s="5" t="str">
        <f aca="false">IF(OR(H8="",NOT(AND(ISNUMBER(FIND(MID(B8,3,1),"0123456789")),ISNUMBER(FIND(MID(B8,4,1),"0123456789"))))),"",TEXT(98-MOD(H8-VALUE(E8),97),"00"))</f>
        <v>44</v>
      </c>
      <c r="J8" s="4" t="str">
        <f aca="false">IF(B8="","",IF(LEFT(K8,10)="آيبان صحيح","صحيح ✓","غير صحيح ✗"))</f>
        <v>صحيح ✓</v>
      </c>
      <c r="K8" s="10" t="str">
        <f aca="false">IF(B8="","",IF(M8=FALSE(),"يحتوي رموزاً غير مسموحة (المسموح A–Z و 0–9 فقط)",IF(D8&lt;&gt;"SA","رمز الدولة "&amp;D8&amp;" — هذا المدقق للآيبان السعودي SA",IF(C8&lt;&gt;24,"الطول "&amp;C8&amp;" خانة والمطلوب 24",IF(NOT(AND(ISNUMBER(FIND(MID(B8,3,1),"0123456789")),ISNUMBER(FIND(MID(B8,4,1),"0123456789")))),"خانتا التدقيق يجب أن تكونا رقمين",IF(ISERROR(VALUE(MID(B8,5,20))),"رمز البنك ورقم الحساب يجب أن يكونا أرقاماً",IF(H8&lt;&gt;1,"فشل اختبار MOD-97 (الباقي "&amp;H8&amp;" وليس 1) — خطأ في كتابة الرقم؛ خانتا التدقيق الصحيحتان لهذا الحساب "&amp;I8,IF(G8="رمز غير معروف","اجتاز MOD-97 لكن رمز البنك "&amp;F8&amp;" غير مسجل في جدول البنوك","آيبان صحيح — "&amp;G8))))))))</f>
        <v>آيبان صحيح — بنك الرياض</v>
      </c>
      <c r="L8" s="18" t="str">
        <f aca="false">IF(B8="","",MID(B8,5,40)&amp;LEFT(B8,4))</f>
        <v>20000001234567891234SA44</v>
      </c>
      <c r="M8" s="19" t="b">
        <f aca="false">IF(L8="","",NOT(ISNUMBER(FIND("#",AV8))))</f>
        <v>1</v>
      </c>
      <c r="N8" s="18" t="str">
        <f aca="false">IF(LEN($L8)&lt;1,"",IF(ISNUMBER(FIND(MID($L8,1,1),"0123456789")),MID($L8,1,1),IF(ISNUMBER(FIND(MID($L8,1,1),"ABCDEFGHIJKLMNOPQRSTUVWXYZ")),CODE(MID($L8,1,1))-55,"#")))</f>
        <v>2</v>
      </c>
      <c r="O8" s="18" t="str">
        <f aca="false">IF(LEN($L8)&lt;2,"",IF(ISNUMBER(FIND(MID($L8,2,1),"0123456789")),MID($L8,2,1),IF(ISNUMBER(FIND(MID($L8,2,1),"ABCDEFGHIJKLMNOPQRSTUVWXYZ")),CODE(MID($L8,2,1))-55,"#")))</f>
        <v>0</v>
      </c>
      <c r="P8" s="18" t="str">
        <f aca="false">IF(LEN($L8)&lt;3,"",IF(ISNUMBER(FIND(MID($L8,3,1),"0123456789")),MID($L8,3,1),IF(ISNUMBER(FIND(MID($L8,3,1),"ABCDEFGHIJKLMNOPQRSTUVWXYZ")),CODE(MID($L8,3,1))-55,"#")))</f>
        <v>0</v>
      </c>
      <c r="Q8" s="18" t="str">
        <f aca="false">IF(LEN($L8)&lt;4,"",IF(ISNUMBER(FIND(MID($L8,4,1),"0123456789")),MID($L8,4,1),IF(ISNUMBER(FIND(MID($L8,4,1),"ABCDEFGHIJKLMNOPQRSTUVWXYZ")),CODE(MID($L8,4,1))-55,"#")))</f>
        <v>0</v>
      </c>
      <c r="R8" s="18" t="str">
        <f aca="false">IF(LEN($L8)&lt;5,"",IF(ISNUMBER(FIND(MID($L8,5,1),"0123456789")),MID($L8,5,1),IF(ISNUMBER(FIND(MID($L8,5,1),"ABCDEFGHIJKLMNOPQRSTUVWXYZ")),CODE(MID($L8,5,1))-55,"#")))</f>
        <v>0</v>
      </c>
      <c r="S8" s="18" t="str">
        <f aca="false">IF(LEN($L8)&lt;6,"",IF(ISNUMBER(FIND(MID($L8,6,1),"0123456789")),MID($L8,6,1),IF(ISNUMBER(FIND(MID($L8,6,1),"ABCDEFGHIJKLMNOPQRSTUVWXYZ")),CODE(MID($L8,6,1))-55,"#")))</f>
        <v>0</v>
      </c>
      <c r="T8" s="18" t="str">
        <f aca="false">IF(LEN($L8)&lt;7,"",IF(ISNUMBER(FIND(MID($L8,7,1),"0123456789")),MID($L8,7,1),IF(ISNUMBER(FIND(MID($L8,7,1),"ABCDEFGHIJKLMNOPQRSTUVWXYZ")),CODE(MID($L8,7,1))-55,"#")))</f>
        <v>0</v>
      </c>
      <c r="U8" s="18" t="str">
        <f aca="false">IF(LEN($L8)&lt;8,"",IF(ISNUMBER(FIND(MID($L8,8,1),"0123456789")),MID($L8,8,1),IF(ISNUMBER(FIND(MID($L8,8,1),"ABCDEFGHIJKLMNOPQRSTUVWXYZ")),CODE(MID($L8,8,1))-55,"#")))</f>
        <v>1</v>
      </c>
      <c r="V8" s="18" t="str">
        <f aca="false">IF(LEN($L8)&lt;9,"",IF(ISNUMBER(FIND(MID($L8,9,1),"0123456789")),MID($L8,9,1),IF(ISNUMBER(FIND(MID($L8,9,1),"ABCDEFGHIJKLMNOPQRSTUVWXYZ")),CODE(MID($L8,9,1))-55,"#")))</f>
        <v>2</v>
      </c>
      <c r="W8" s="18" t="str">
        <f aca="false">IF(LEN($L8)&lt;10,"",IF(ISNUMBER(FIND(MID($L8,10,1),"0123456789")),MID($L8,10,1),IF(ISNUMBER(FIND(MID($L8,10,1),"ABCDEFGHIJKLMNOPQRSTUVWXYZ")),CODE(MID($L8,10,1))-55,"#")))</f>
        <v>3</v>
      </c>
      <c r="X8" s="18" t="str">
        <f aca="false">IF(LEN($L8)&lt;11,"",IF(ISNUMBER(FIND(MID($L8,11,1),"0123456789")),MID($L8,11,1),IF(ISNUMBER(FIND(MID($L8,11,1),"ABCDEFGHIJKLMNOPQRSTUVWXYZ")),CODE(MID($L8,11,1))-55,"#")))</f>
        <v>4</v>
      </c>
      <c r="Y8" s="18" t="str">
        <f aca="false">IF(LEN($L8)&lt;12,"",IF(ISNUMBER(FIND(MID($L8,12,1),"0123456789")),MID($L8,12,1),IF(ISNUMBER(FIND(MID($L8,12,1),"ABCDEFGHIJKLMNOPQRSTUVWXYZ")),CODE(MID($L8,12,1))-55,"#")))</f>
        <v>5</v>
      </c>
      <c r="Z8" s="18" t="str">
        <f aca="false">IF(LEN($L8)&lt;13,"",IF(ISNUMBER(FIND(MID($L8,13,1),"0123456789")),MID($L8,13,1),IF(ISNUMBER(FIND(MID($L8,13,1),"ABCDEFGHIJKLMNOPQRSTUVWXYZ")),CODE(MID($L8,13,1))-55,"#")))</f>
        <v>6</v>
      </c>
      <c r="AA8" s="18" t="str">
        <f aca="false">IF(LEN($L8)&lt;14,"",IF(ISNUMBER(FIND(MID($L8,14,1),"0123456789")),MID($L8,14,1),IF(ISNUMBER(FIND(MID($L8,14,1),"ABCDEFGHIJKLMNOPQRSTUVWXYZ")),CODE(MID($L8,14,1))-55,"#")))</f>
        <v>7</v>
      </c>
      <c r="AB8" s="18" t="str">
        <f aca="false">IF(LEN($L8)&lt;15,"",IF(ISNUMBER(FIND(MID($L8,15,1),"0123456789")),MID($L8,15,1),IF(ISNUMBER(FIND(MID($L8,15,1),"ABCDEFGHIJKLMNOPQRSTUVWXYZ")),CODE(MID($L8,15,1))-55,"#")))</f>
        <v>8</v>
      </c>
      <c r="AC8" s="18" t="str">
        <f aca="false">IF(LEN($L8)&lt;16,"",IF(ISNUMBER(FIND(MID($L8,16,1),"0123456789")),MID($L8,16,1),IF(ISNUMBER(FIND(MID($L8,16,1),"ABCDEFGHIJKLMNOPQRSTUVWXYZ")),CODE(MID($L8,16,1))-55,"#")))</f>
        <v>9</v>
      </c>
      <c r="AD8" s="18" t="str">
        <f aca="false">IF(LEN($L8)&lt;17,"",IF(ISNUMBER(FIND(MID($L8,17,1),"0123456789")),MID($L8,17,1),IF(ISNUMBER(FIND(MID($L8,17,1),"ABCDEFGHIJKLMNOPQRSTUVWXYZ")),CODE(MID($L8,17,1))-55,"#")))</f>
        <v>1</v>
      </c>
      <c r="AE8" s="18" t="str">
        <f aca="false">IF(LEN($L8)&lt;18,"",IF(ISNUMBER(FIND(MID($L8,18,1),"0123456789")),MID($L8,18,1),IF(ISNUMBER(FIND(MID($L8,18,1),"ABCDEFGHIJKLMNOPQRSTUVWXYZ")),CODE(MID($L8,18,1))-55,"#")))</f>
        <v>2</v>
      </c>
      <c r="AF8" s="18" t="str">
        <f aca="false">IF(LEN($L8)&lt;19,"",IF(ISNUMBER(FIND(MID($L8,19,1),"0123456789")),MID($L8,19,1),IF(ISNUMBER(FIND(MID($L8,19,1),"ABCDEFGHIJKLMNOPQRSTUVWXYZ")),CODE(MID($L8,19,1))-55,"#")))</f>
        <v>3</v>
      </c>
      <c r="AG8" s="18" t="str">
        <f aca="false">IF(LEN($L8)&lt;20,"",IF(ISNUMBER(FIND(MID($L8,20,1),"0123456789")),MID($L8,20,1),IF(ISNUMBER(FIND(MID($L8,20,1),"ABCDEFGHIJKLMNOPQRSTUVWXYZ")),CODE(MID($L8,20,1))-55,"#")))</f>
        <v>4</v>
      </c>
      <c r="AH8" s="18" t="n">
        <f aca="false">IF(LEN($L8)&lt;21,"",IF(ISNUMBER(FIND(MID($L8,21,1),"0123456789")),MID($L8,21,1),IF(ISNUMBER(FIND(MID($L8,21,1),"ABCDEFGHIJKLMNOPQRSTUVWXYZ")),CODE(MID($L8,21,1))-55,"#")))</f>
        <v>28</v>
      </c>
      <c r="AI8" s="18" t="n">
        <f aca="false">IF(LEN($L8)&lt;22,"",IF(ISNUMBER(FIND(MID($L8,22,1),"0123456789")),MID($L8,22,1),IF(ISNUMBER(FIND(MID($L8,22,1),"ABCDEFGHIJKLMNOPQRSTUVWXYZ")),CODE(MID($L8,22,1))-55,"#")))</f>
        <v>10</v>
      </c>
      <c r="AJ8" s="18" t="str">
        <f aca="false">IF(LEN($L8)&lt;23,"",IF(ISNUMBER(FIND(MID($L8,23,1),"0123456789")),MID($L8,23,1),IF(ISNUMBER(FIND(MID($L8,23,1),"ABCDEFGHIJKLMNOPQRSTUVWXYZ")),CODE(MID($L8,23,1))-55,"#")))</f>
        <v>4</v>
      </c>
      <c r="AK8" s="18" t="str">
        <f aca="false">IF(LEN($L8)&lt;24,"",IF(ISNUMBER(FIND(MID($L8,24,1),"0123456789")),MID($L8,24,1),IF(ISNUMBER(FIND(MID($L8,24,1),"ABCDEFGHIJKLMNOPQRSTUVWXYZ")),CODE(MID($L8,24,1))-55,"#")))</f>
        <v>4</v>
      </c>
      <c r="AL8" s="18" t="str">
        <f aca="false">IF(LEN($L8)&lt;25,"",IF(ISNUMBER(FIND(MID($L8,25,1),"0123456789")),MID($L8,25,1),IF(ISNUMBER(FIND(MID($L8,25,1),"ABCDEFGHIJKLMNOPQRSTUVWXYZ")),CODE(MID($L8,25,1))-55,"#")))</f>
        <v/>
      </c>
      <c r="AM8" s="18" t="str">
        <f aca="false">IF(LEN($L8)&lt;26,"",IF(ISNUMBER(FIND(MID($L8,26,1),"0123456789")),MID($L8,26,1),IF(ISNUMBER(FIND(MID($L8,26,1),"ABCDEFGHIJKLMNOPQRSTUVWXYZ")),CODE(MID($L8,26,1))-55,"#")))</f>
        <v/>
      </c>
      <c r="AN8" s="18" t="str">
        <f aca="false">IF(LEN($L8)&lt;27,"",IF(ISNUMBER(FIND(MID($L8,27,1),"0123456789")),MID($L8,27,1),IF(ISNUMBER(FIND(MID($L8,27,1),"ABCDEFGHIJKLMNOPQRSTUVWXYZ")),CODE(MID($L8,27,1))-55,"#")))</f>
        <v/>
      </c>
      <c r="AO8" s="18" t="str">
        <f aca="false">IF(LEN($L8)&lt;28,"",IF(ISNUMBER(FIND(MID($L8,28,1),"0123456789")),MID($L8,28,1),IF(ISNUMBER(FIND(MID($L8,28,1),"ABCDEFGHIJKLMNOPQRSTUVWXYZ")),CODE(MID($L8,28,1))-55,"#")))</f>
        <v/>
      </c>
      <c r="AP8" s="18" t="str">
        <f aca="false">IF(LEN($L8)&lt;29,"",IF(ISNUMBER(FIND(MID($L8,29,1),"0123456789")),MID($L8,29,1),IF(ISNUMBER(FIND(MID($L8,29,1),"ABCDEFGHIJKLMNOPQRSTUVWXYZ")),CODE(MID($L8,29,1))-55,"#")))</f>
        <v/>
      </c>
      <c r="AQ8" s="18" t="str">
        <f aca="false">IF(LEN($L8)&lt;30,"",IF(ISNUMBER(FIND(MID($L8,30,1),"0123456789")),MID($L8,30,1),IF(ISNUMBER(FIND(MID($L8,30,1),"ABCDEFGHIJKLMNOPQRSTUVWXYZ")),CODE(MID($L8,30,1))-55,"#")))</f>
        <v/>
      </c>
      <c r="AR8" s="18" t="str">
        <f aca="false">IF(LEN($L8)&lt;31,"",IF(ISNUMBER(FIND(MID($L8,31,1),"0123456789")),MID($L8,31,1),IF(ISNUMBER(FIND(MID($L8,31,1),"ABCDEFGHIJKLMNOPQRSTUVWXYZ")),CODE(MID($L8,31,1))-55,"#")))</f>
        <v/>
      </c>
      <c r="AS8" s="18" t="str">
        <f aca="false">IF(LEN($L8)&lt;32,"",IF(ISNUMBER(FIND(MID($L8,32,1),"0123456789")),MID($L8,32,1),IF(ISNUMBER(FIND(MID($L8,32,1),"ABCDEFGHIJKLMNOPQRSTUVWXYZ")),CODE(MID($L8,32,1))-55,"#")))</f>
        <v/>
      </c>
      <c r="AT8" s="18" t="str">
        <f aca="false">IF(LEN($L8)&lt;33,"",IF(ISNUMBER(FIND(MID($L8,33,1),"0123456789")),MID($L8,33,1),IF(ISNUMBER(FIND(MID($L8,33,1),"ABCDEFGHIJKLMNOPQRSTUVWXYZ")),CODE(MID($L8,33,1))-55,"#")))</f>
        <v/>
      </c>
      <c r="AU8" s="18" t="str">
        <f aca="false">IF(LEN($L8)&lt;34,"",IF(ISNUMBER(FIND(MID($L8,34,1),"0123456789")),MID($L8,34,1),IF(ISNUMBER(FIND(MID($L8,34,1),"ABCDEFGHIJKLMNOPQRSTUVWXYZ")),CODE(MID($L8,34,1))-55,"#")))</f>
        <v/>
      </c>
      <c r="AV8" s="18" t="str">
        <f aca="false">_xlfn.CONCAT(N8:AU8)</f>
        <v>20000001234567891234281044</v>
      </c>
      <c r="AW8" s="18" t="n">
        <f aca="false">IF(OR(AV8="",M8=FALSE()),"",MOD(VALUE(MID(AV8,1,9)),97))</f>
        <v>77</v>
      </c>
      <c r="AX8" s="18" t="n">
        <f aca="false">IF(AW8="","",MOD(VALUE(AW8&amp;MID(AV8,10,7)),97))</f>
        <v>32</v>
      </c>
      <c r="AY8" s="18" t="n">
        <f aca="false">IF(AX8="","",MOD(VALUE(AX8&amp;MID(AV8,17,7)),97))</f>
        <v>60</v>
      </c>
      <c r="AZ8" s="18" t="n">
        <f aca="false">IF(AY8="","",MOD(VALUE(AY8&amp;MID(AV8,24,7)),97))</f>
        <v>1</v>
      </c>
      <c r="BA8" s="18" t="n">
        <f aca="false">IF(AZ8="","",MOD(VALUE(AZ8&amp;MID(AV8,31,7)),97))</f>
        <v>1</v>
      </c>
      <c r="BB8" s="18" t="n">
        <f aca="false">IF(BA8="","",MOD(VALUE(BA8&amp;MID(AV8,38,7)),97))</f>
        <v>1</v>
      </c>
      <c r="BC8" s="18" t="n">
        <f aca="false">IF(BB8="","",MOD(VALUE(BB8&amp;MID(AV8,45,7)),97))</f>
        <v>1</v>
      </c>
      <c r="BD8" s="18" t="n">
        <f aca="false">IF(BC8="","",MOD(VALUE(BC8&amp;MID(AV8,52,7)),97))</f>
        <v>1</v>
      </c>
      <c r="BE8" s="18" t="n">
        <f aca="false">IF(BD8="","",MOD(VALUE(BD8&amp;MID(AV8,59,7)),97))</f>
        <v>1</v>
      </c>
      <c r="BF8" s="18" t="n">
        <f aca="false">IF(BE8="","",MOD(VALUE(BE8&amp;MID(AV8,66,7)),97))</f>
        <v>1</v>
      </c>
    </row>
    <row r="9" customFormat="false" ht="15" hidden="false" customHeight="false" outlineLevel="0" collapsed="false">
      <c r="A9" s="11" t="s">
        <v>228</v>
      </c>
      <c r="B9" s="5" t="str">
        <f aca="false">UPPER(SUBSTITUTE(SUBSTITUTE(SUBSTITUTE(TRIM(A9)," ",""),"-",""),CHAR(160),""))</f>
        <v>SA038000000060801016751</v>
      </c>
      <c r="C9" s="5" t="n">
        <f aca="false">IF(B9="","",LEN(B9))</f>
        <v>23</v>
      </c>
      <c r="D9" s="5" t="str">
        <f aca="false">IF(B9="","",LEFT(B9,2))</f>
        <v>SA</v>
      </c>
      <c r="E9" s="5" t="str">
        <f aca="false">IF(B9="","",MID(B9,3,2))</f>
        <v>03</v>
      </c>
      <c r="F9" s="5" t="str">
        <f aca="false">IF(B9="","",MID(B9,5,2))</f>
        <v>80</v>
      </c>
      <c r="G9" s="5" t="str">
        <f aca="false">IF(B9="","",IFERROR(INDEX('رموز البنوك'!$C$5:$C$30,MATCH(F9,'رموز البنوك'!$B$5:$B$30,0)),"رمز غير معروف"))</f>
        <v>مصرف الراجحي</v>
      </c>
      <c r="H9" s="5" t="n">
        <f aca="false">BF9</f>
        <v>48</v>
      </c>
      <c r="I9" s="5" t="str">
        <f aca="false">IF(OR(H9="",NOT(AND(ISNUMBER(FIND(MID(B9,3,1),"0123456789")),ISNUMBER(FIND(MID(B9,4,1),"0123456789"))))),"",TEXT(98-MOD(H9-VALUE(E9),97),"00"))</f>
        <v>53</v>
      </c>
      <c r="J9" s="4" t="str">
        <f aca="false">IF(B9="","",IF(LEFT(K9,10)="آيبان صحيح","صحيح ✓","غير صحيح ✗"))</f>
        <v>غير صحيح ✗</v>
      </c>
      <c r="K9" s="10" t="str">
        <f aca="false">IF(B9="","",IF(M9=FALSE(),"يحتوي رموزاً غير مسموحة (المسموح A–Z و 0–9 فقط)",IF(D9&lt;&gt;"SA","رمز الدولة "&amp;D9&amp;" — هذا المدقق للآيبان السعودي SA",IF(C9&lt;&gt;24,"الطول "&amp;C9&amp;" خانة والمطلوب 24",IF(NOT(AND(ISNUMBER(FIND(MID(B9,3,1),"0123456789")),ISNUMBER(FIND(MID(B9,4,1),"0123456789")))),"خانتا التدقيق يجب أن تكونا رقمين",IF(ISERROR(VALUE(MID(B9,5,20))),"رمز البنك ورقم الحساب يجب أن يكونا أرقاماً",IF(H9&lt;&gt;1,"فشل اختبار MOD-97 (الباقي "&amp;H9&amp;" وليس 1) — خطأ في كتابة الرقم؛ خانتا التدقيق الصحيحتان لهذا الحساب "&amp;I9,IF(G9="رمز غير معروف","اجتاز MOD-97 لكن رمز البنك "&amp;F9&amp;" غير مسجل في جدول البنوك","آيبان صحيح — "&amp;G9))))))))</f>
        <v>الطول 23 خانة والمطلوب 24</v>
      </c>
      <c r="L9" s="18" t="str">
        <f aca="false">IF(B9="","",MID(B9,5,40)&amp;LEFT(B9,4))</f>
        <v>8000000060801016751SA03</v>
      </c>
      <c r="M9" s="19" t="b">
        <f aca="false">IF(L9="","",NOT(ISNUMBER(FIND("#",AV9))))</f>
        <v>1</v>
      </c>
      <c r="N9" s="18" t="str">
        <f aca="false">IF(LEN($L9)&lt;1,"",IF(ISNUMBER(FIND(MID($L9,1,1),"0123456789")),MID($L9,1,1),IF(ISNUMBER(FIND(MID($L9,1,1),"ABCDEFGHIJKLMNOPQRSTUVWXYZ")),CODE(MID($L9,1,1))-55,"#")))</f>
        <v>8</v>
      </c>
      <c r="O9" s="18" t="str">
        <f aca="false">IF(LEN($L9)&lt;2,"",IF(ISNUMBER(FIND(MID($L9,2,1),"0123456789")),MID($L9,2,1),IF(ISNUMBER(FIND(MID($L9,2,1),"ABCDEFGHIJKLMNOPQRSTUVWXYZ")),CODE(MID($L9,2,1))-55,"#")))</f>
        <v>0</v>
      </c>
      <c r="P9" s="18" t="str">
        <f aca="false">IF(LEN($L9)&lt;3,"",IF(ISNUMBER(FIND(MID($L9,3,1),"0123456789")),MID($L9,3,1),IF(ISNUMBER(FIND(MID($L9,3,1),"ABCDEFGHIJKLMNOPQRSTUVWXYZ")),CODE(MID($L9,3,1))-55,"#")))</f>
        <v>0</v>
      </c>
      <c r="Q9" s="18" t="str">
        <f aca="false">IF(LEN($L9)&lt;4,"",IF(ISNUMBER(FIND(MID($L9,4,1),"0123456789")),MID($L9,4,1),IF(ISNUMBER(FIND(MID($L9,4,1),"ABCDEFGHIJKLMNOPQRSTUVWXYZ")),CODE(MID($L9,4,1))-55,"#")))</f>
        <v>0</v>
      </c>
      <c r="R9" s="18" t="str">
        <f aca="false">IF(LEN($L9)&lt;5,"",IF(ISNUMBER(FIND(MID($L9,5,1),"0123456789")),MID($L9,5,1),IF(ISNUMBER(FIND(MID($L9,5,1),"ABCDEFGHIJKLMNOPQRSTUVWXYZ")),CODE(MID($L9,5,1))-55,"#")))</f>
        <v>0</v>
      </c>
      <c r="S9" s="18" t="str">
        <f aca="false">IF(LEN($L9)&lt;6,"",IF(ISNUMBER(FIND(MID($L9,6,1),"0123456789")),MID($L9,6,1),IF(ISNUMBER(FIND(MID($L9,6,1),"ABCDEFGHIJKLMNOPQRSTUVWXYZ")),CODE(MID($L9,6,1))-55,"#")))</f>
        <v>0</v>
      </c>
      <c r="T9" s="18" t="str">
        <f aca="false">IF(LEN($L9)&lt;7,"",IF(ISNUMBER(FIND(MID($L9,7,1),"0123456789")),MID($L9,7,1),IF(ISNUMBER(FIND(MID($L9,7,1),"ABCDEFGHIJKLMNOPQRSTUVWXYZ")),CODE(MID($L9,7,1))-55,"#")))</f>
        <v>0</v>
      </c>
      <c r="U9" s="18" t="str">
        <f aca="false">IF(LEN($L9)&lt;8,"",IF(ISNUMBER(FIND(MID($L9,8,1),"0123456789")),MID($L9,8,1),IF(ISNUMBER(FIND(MID($L9,8,1),"ABCDEFGHIJKLMNOPQRSTUVWXYZ")),CODE(MID($L9,8,1))-55,"#")))</f>
        <v>0</v>
      </c>
      <c r="V9" s="18" t="str">
        <f aca="false">IF(LEN($L9)&lt;9,"",IF(ISNUMBER(FIND(MID($L9,9,1),"0123456789")),MID($L9,9,1),IF(ISNUMBER(FIND(MID($L9,9,1),"ABCDEFGHIJKLMNOPQRSTUVWXYZ")),CODE(MID($L9,9,1))-55,"#")))</f>
        <v>6</v>
      </c>
      <c r="W9" s="18" t="str">
        <f aca="false">IF(LEN($L9)&lt;10,"",IF(ISNUMBER(FIND(MID($L9,10,1),"0123456789")),MID($L9,10,1),IF(ISNUMBER(FIND(MID($L9,10,1),"ABCDEFGHIJKLMNOPQRSTUVWXYZ")),CODE(MID($L9,10,1))-55,"#")))</f>
        <v>0</v>
      </c>
      <c r="X9" s="18" t="str">
        <f aca="false">IF(LEN($L9)&lt;11,"",IF(ISNUMBER(FIND(MID($L9,11,1),"0123456789")),MID($L9,11,1),IF(ISNUMBER(FIND(MID($L9,11,1),"ABCDEFGHIJKLMNOPQRSTUVWXYZ")),CODE(MID($L9,11,1))-55,"#")))</f>
        <v>8</v>
      </c>
      <c r="Y9" s="18" t="str">
        <f aca="false">IF(LEN($L9)&lt;12,"",IF(ISNUMBER(FIND(MID($L9,12,1),"0123456789")),MID($L9,12,1),IF(ISNUMBER(FIND(MID($L9,12,1),"ABCDEFGHIJKLMNOPQRSTUVWXYZ")),CODE(MID($L9,12,1))-55,"#")))</f>
        <v>0</v>
      </c>
      <c r="Z9" s="18" t="str">
        <f aca="false">IF(LEN($L9)&lt;13,"",IF(ISNUMBER(FIND(MID($L9,13,1),"0123456789")),MID($L9,13,1),IF(ISNUMBER(FIND(MID($L9,13,1),"ABCDEFGHIJKLMNOPQRSTUVWXYZ")),CODE(MID($L9,13,1))-55,"#")))</f>
        <v>1</v>
      </c>
      <c r="AA9" s="18" t="str">
        <f aca="false">IF(LEN($L9)&lt;14,"",IF(ISNUMBER(FIND(MID($L9,14,1),"0123456789")),MID($L9,14,1),IF(ISNUMBER(FIND(MID($L9,14,1),"ABCDEFGHIJKLMNOPQRSTUVWXYZ")),CODE(MID($L9,14,1))-55,"#")))</f>
        <v>0</v>
      </c>
      <c r="AB9" s="18" t="str">
        <f aca="false">IF(LEN($L9)&lt;15,"",IF(ISNUMBER(FIND(MID($L9,15,1),"0123456789")),MID($L9,15,1),IF(ISNUMBER(FIND(MID($L9,15,1),"ABCDEFGHIJKLMNOPQRSTUVWXYZ")),CODE(MID($L9,15,1))-55,"#")))</f>
        <v>1</v>
      </c>
      <c r="AC9" s="18" t="str">
        <f aca="false">IF(LEN($L9)&lt;16,"",IF(ISNUMBER(FIND(MID($L9,16,1),"0123456789")),MID($L9,16,1),IF(ISNUMBER(FIND(MID($L9,16,1),"ABCDEFGHIJKLMNOPQRSTUVWXYZ")),CODE(MID($L9,16,1))-55,"#")))</f>
        <v>6</v>
      </c>
      <c r="AD9" s="18" t="str">
        <f aca="false">IF(LEN($L9)&lt;17,"",IF(ISNUMBER(FIND(MID($L9,17,1),"0123456789")),MID($L9,17,1),IF(ISNUMBER(FIND(MID($L9,17,1),"ABCDEFGHIJKLMNOPQRSTUVWXYZ")),CODE(MID($L9,17,1))-55,"#")))</f>
        <v>7</v>
      </c>
      <c r="AE9" s="18" t="str">
        <f aca="false">IF(LEN($L9)&lt;18,"",IF(ISNUMBER(FIND(MID($L9,18,1),"0123456789")),MID($L9,18,1),IF(ISNUMBER(FIND(MID($L9,18,1),"ABCDEFGHIJKLMNOPQRSTUVWXYZ")),CODE(MID($L9,18,1))-55,"#")))</f>
        <v>5</v>
      </c>
      <c r="AF9" s="18" t="str">
        <f aca="false">IF(LEN($L9)&lt;19,"",IF(ISNUMBER(FIND(MID($L9,19,1),"0123456789")),MID($L9,19,1),IF(ISNUMBER(FIND(MID($L9,19,1),"ABCDEFGHIJKLMNOPQRSTUVWXYZ")),CODE(MID($L9,19,1))-55,"#")))</f>
        <v>1</v>
      </c>
      <c r="AG9" s="18" t="n">
        <f aca="false">IF(LEN($L9)&lt;20,"",IF(ISNUMBER(FIND(MID($L9,20,1),"0123456789")),MID($L9,20,1),IF(ISNUMBER(FIND(MID($L9,20,1),"ABCDEFGHIJKLMNOPQRSTUVWXYZ")),CODE(MID($L9,20,1))-55,"#")))</f>
        <v>28</v>
      </c>
      <c r="AH9" s="18" t="n">
        <f aca="false">IF(LEN($L9)&lt;21,"",IF(ISNUMBER(FIND(MID($L9,21,1),"0123456789")),MID($L9,21,1),IF(ISNUMBER(FIND(MID($L9,21,1),"ABCDEFGHIJKLMNOPQRSTUVWXYZ")),CODE(MID($L9,21,1))-55,"#")))</f>
        <v>10</v>
      </c>
      <c r="AI9" s="18" t="str">
        <f aca="false">IF(LEN($L9)&lt;22,"",IF(ISNUMBER(FIND(MID($L9,22,1),"0123456789")),MID($L9,22,1),IF(ISNUMBER(FIND(MID($L9,22,1),"ABCDEFGHIJKLMNOPQRSTUVWXYZ")),CODE(MID($L9,22,1))-55,"#")))</f>
        <v>0</v>
      </c>
      <c r="AJ9" s="18" t="str">
        <f aca="false">IF(LEN($L9)&lt;23,"",IF(ISNUMBER(FIND(MID($L9,23,1),"0123456789")),MID($L9,23,1),IF(ISNUMBER(FIND(MID($L9,23,1),"ABCDEFGHIJKLMNOPQRSTUVWXYZ")),CODE(MID($L9,23,1))-55,"#")))</f>
        <v>3</v>
      </c>
      <c r="AK9" s="18" t="str">
        <f aca="false">IF(LEN($L9)&lt;24,"",IF(ISNUMBER(FIND(MID($L9,24,1),"0123456789")),MID($L9,24,1),IF(ISNUMBER(FIND(MID($L9,24,1),"ABCDEFGHIJKLMNOPQRSTUVWXYZ")),CODE(MID($L9,24,1))-55,"#")))</f>
        <v/>
      </c>
      <c r="AL9" s="18" t="str">
        <f aca="false">IF(LEN($L9)&lt;25,"",IF(ISNUMBER(FIND(MID($L9,25,1),"0123456789")),MID($L9,25,1),IF(ISNUMBER(FIND(MID($L9,25,1),"ABCDEFGHIJKLMNOPQRSTUVWXYZ")),CODE(MID($L9,25,1))-55,"#")))</f>
        <v/>
      </c>
      <c r="AM9" s="18" t="str">
        <f aca="false">IF(LEN($L9)&lt;26,"",IF(ISNUMBER(FIND(MID($L9,26,1),"0123456789")),MID($L9,26,1),IF(ISNUMBER(FIND(MID($L9,26,1),"ABCDEFGHIJKLMNOPQRSTUVWXYZ")),CODE(MID($L9,26,1))-55,"#")))</f>
        <v/>
      </c>
      <c r="AN9" s="18" t="str">
        <f aca="false">IF(LEN($L9)&lt;27,"",IF(ISNUMBER(FIND(MID($L9,27,1),"0123456789")),MID($L9,27,1),IF(ISNUMBER(FIND(MID($L9,27,1),"ABCDEFGHIJKLMNOPQRSTUVWXYZ")),CODE(MID($L9,27,1))-55,"#")))</f>
        <v/>
      </c>
      <c r="AO9" s="18" t="str">
        <f aca="false">IF(LEN($L9)&lt;28,"",IF(ISNUMBER(FIND(MID($L9,28,1),"0123456789")),MID($L9,28,1),IF(ISNUMBER(FIND(MID($L9,28,1),"ABCDEFGHIJKLMNOPQRSTUVWXYZ")),CODE(MID($L9,28,1))-55,"#")))</f>
        <v/>
      </c>
      <c r="AP9" s="18" t="str">
        <f aca="false">IF(LEN($L9)&lt;29,"",IF(ISNUMBER(FIND(MID($L9,29,1),"0123456789")),MID($L9,29,1),IF(ISNUMBER(FIND(MID($L9,29,1),"ABCDEFGHIJKLMNOPQRSTUVWXYZ")),CODE(MID($L9,29,1))-55,"#")))</f>
        <v/>
      </c>
      <c r="AQ9" s="18" t="str">
        <f aca="false">IF(LEN($L9)&lt;30,"",IF(ISNUMBER(FIND(MID($L9,30,1),"0123456789")),MID($L9,30,1),IF(ISNUMBER(FIND(MID($L9,30,1),"ABCDEFGHIJKLMNOPQRSTUVWXYZ")),CODE(MID($L9,30,1))-55,"#")))</f>
        <v/>
      </c>
      <c r="AR9" s="18" t="str">
        <f aca="false">IF(LEN($L9)&lt;31,"",IF(ISNUMBER(FIND(MID($L9,31,1),"0123456789")),MID($L9,31,1),IF(ISNUMBER(FIND(MID($L9,31,1),"ABCDEFGHIJKLMNOPQRSTUVWXYZ")),CODE(MID($L9,31,1))-55,"#")))</f>
        <v/>
      </c>
      <c r="AS9" s="18" t="str">
        <f aca="false">IF(LEN($L9)&lt;32,"",IF(ISNUMBER(FIND(MID($L9,32,1),"0123456789")),MID($L9,32,1),IF(ISNUMBER(FIND(MID($L9,32,1),"ABCDEFGHIJKLMNOPQRSTUVWXYZ")),CODE(MID($L9,32,1))-55,"#")))</f>
        <v/>
      </c>
      <c r="AT9" s="18" t="str">
        <f aca="false">IF(LEN($L9)&lt;33,"",IF(ISNUMBER(FIND(MID($L9,33,1),"0123456789")),MID($L9,33,1),IF(ISNUMBER(FIND(MID($L9,33,1),"ABCDEFGHIJKLMNOPQRSTUVWXYZ")),CODE(MID($L9,33,1))-55,"#")))</f>
        <v/>
      </c>
      <c r="AU9" s="18" t="str">
        <f aca="false">IF(LEN($L9)&lt;34,"",IF(ISNUMBER(FIND(MID($L9,34,1),"0123456789")),MID($L9,34,1),IF(ISNUMBER(FIND(MID($L9,34,1),"ABCDEFGHIJKLMNOPQRSTUVWXYZ")),CODE(MID($L9,34,1))-55,"#")))</f>
        <v/>
      </c>
      <c r="AV9" s="18" t="str">
        <f aca="false">_xlfn.CONCAT(N9:AU9)</f>
        <v>8000000060801016751281003</v>
      </c>
      <c r="AW9" s="18" t="n">
        <f aca="false">IF(OR(AV9="",M9=FALSE()),"",MOD(VALUE(MID(AV9,1,9)),97))</f>
        <v>72</v>
      </c>
      <c r="AX9" s="18" t="n">
        <f aca="false">IF(AW9="","",MOD(VALUE(AW9&amp;MID(AV9,10,7)),97))</f>
        <v>30</v>
      </c>
      <c r="AY9" s="18" t="n">
        <f aca="false">IF(AX9="","",MOD(VALUE(AX9&amp;MID(AV9,17,7)),97))</f>
        <v>15</v>
      </c>
      <c r="AZ9" s="18" t="n">
        <f aca="false">IF(AY9="","",MOD(VALUE(AY9&amp;MID(AV9,24,7)),97))</f>
        <v>48</v>
      </c>
      <c r="BA9" s="18" t="n">
        <f aca="false">IF(AZ9="","",MOD(VALUE(AZ9&amp;MID(AV9,31,7)),97))</f>
        <v>48</v>
      </c>
      <c r="BB9" s="18" t="n">
        <f aca="false">IF(BA9="","",MOD(VALUE(BA9&amp;MID(AV9,38,7)),97))</f>
        <v>48</v>
      </c>
      <c r="BC9" s="18" t="n">
        <f aca="false">IF(BB9="","",MOD(VALUE(BB9&amp;MID(AV9,45,7)),97))</f>
        <v>48</v>
      </c>
      <c r="BD9" s="18" t="n">
        <f aca="false">IF(BC9="","",MOD(VALUE(BC9&amp;MID(AV9,52,7)),97))</f>
        <v>48</v>
      </c>
      <c r="BE9" s="18" t="n">
        <f aca="false">IF(BD9="","",MOD(VALUE(BD9&amp;MID(AV9,59,7)),97))</f>
        <v>48</v>
      </c>
      <c r="BF9" s="18" t="n">
        <f aca="false">IF(BE9="","",MOD(VALUE(BE9&amp;MID(AV9,66,7)),97))</f>
        <v>48</v>
      </c>
    </row>
    <row r="10" customFormat="false" ht="26.1" hidden="false" customHeight="false" outlineLevel="0" collapsed="false">
      <c r="A10" s="11" t="s">
        <v>229</v>
      </c>
      <c r="B10" s="5" t="str">
        <f aca="false">UPPER(SUBSTITUTE(SUBSTITUTE(SUBSTITUTE(TRIM(A10)," ",""),"-",""),CHAR(160),""))</f>
        <v>SA3399000000608010167519</v>
      </c>
      <c r="C10" s="5" t="n">
        <f aca="false">IF(B10="","",LEN(B10))</f>
        <v>24</v>
      </c>
      <c r="D10" s="5" t="str">
        <f aca="false">IF(B10="","",LEFT(B10,2))</f>
        <v>SA</v>
      </c>
      <c r="E10" s="5" t="str">
        <f aca="false">IF(B10="","",MID(B10,3,2))</f>
        <v>33</v>
      </c>
      <c r="F10" s="5" t="str">
        <f aca="false">IF(B10="","",MID(B10,5,2))</f>
        <v>99</v>
      </c>
      <c r="G10" s="5" t="str">
        <f aca="false">IF(B10="","",IFERROR(INDEX('رموز البنوك'!$C$5:$C$30,MATCH(F10,'رموز البنوك'!$B$5:$B$30,0)),"رمز غير معروف"))</f>
        <v>رمز غير معروف</v>
      </c>
      <c r="H10" s="5" t="n">
        <f aca="false">BF10</f>
        <v>1</v>
      </c>
      <c r="I10" s="5" t="str">
        <f aca="false">IF(OR(H10="",NOT(AND(ISNUMBER(FIND(MID(B10,3,1),"0123456789")),ISNUMBER(FIND(MID(B10,4,1),"0123456789"))))),"",TEXT(98-MOD(H10-VALUE(E10),97),"00"))</f>
        <v>33</v>
      </c>
      <c r="J10" s="4" t="str">
        <f aca="false">IF(B10="","",IF(LEFT(K10,10)="آيبان صحيح","صحيح ✓","غير صحيح ✗"))</f>
        <v>غير صحيح ✗</v>
      </c>
      <c r="K10" s="10" t="str">
        <f aca="false">IF(B10="","",IF(M10=FALSE(),"يحتوي رموزاً غير مسموحة (المسموح A–Z و 0–9 فقط)",IF(D10&lt;&gt;"SA","رمز الدولة "&amp;D10&amp;" — هذا المدقق للآيبان السعودي SA",IF(C10&lt;&gt;24,"الطول "&amp;C10&amp;" خانة والمطلوب 24",IF(NOT(AND(ISNUMBER(FIND(MID(B10,3,1),"0123456789")),ISNUMBER(FIND(MID(B10,4,1),"0123456789")))),"خانتا التدقيق يجب أن تكونا رقمين",IF(ISERROR(VALUE(MID(B10,5,20))),"رمز البنك ورقم الحساب يجب أن يكونا أرقاماً",IF(H10&lt;&gt;1,"فشل اختبار MOD-97 (الباقي "&amp;H10&amp;" وليس 1) — خطأ في كتابة الرقم؛ خانتا التدقيق الصحيحتان لهذا الحساب "&amp;I10,IF(G10="رمز غير معروف","اجتاز MOD-97 لكن رمز البنك "&amp;F10&amp;" غير مسجل في جدول البنوك","آيبان صحيح — "&amp;G10))))))))</f>
        <v>اجتاز MOD-97 لكن رمز البنك 99 غير مسجل في جدول البنوك</v>
      </c>
      <c r="L10" s="18" t="str">
        <f aca="false">IF(B10="","",MID(B10,5,40)&amp;LEFT(B10,4))</f>
        <v>99000000608010167519SA33</v>
      </c>
      <c r="M10" s="19" t="b">
        <f aca="false">IF(L10="","",NOT(ISNUMBER(FIND("#",AV10))))</f>
        <v>1</v>
      </c>
      <c r="N10" s="18" t="str">
        <f aca="false">IF(LEN($L10)&lt;1,"",IF(ISNUMBER(FIND(MID($L10,1,1),"0123456789")),MID($L10,1,1),IF(ISNUMBER(FIND(MID($L10,1,1),"ABCDEFGHIJKLMNOPQRSTUVWXYZ")),CODE(MID($L10,1,1))-55,"#")))</f>
        <v>9</v>
      </c>
      <c r="O10" s="18" t="str">
        <f aca="false">IF(LEN($L10)&lt;2,"",IF(ISNUMBER(FIND(MID($L10,2,1),"0123456789")),MID($L10,2,1),IF(ISNUMBER(FIND(MID($L10,2,1),"ABCDEFGHIJKLMNOPQRSTUVWXYZ")),CODE(MID($L10,2,1))-55,"#")))</f>
        <v>9</v>
      </c>
      <c r="P10" s="18" t="str">
        <f aca="false">IF(LEN($L10)&lt;3,"",IF(ISNUMBER(FIND(MID($L10,3,1),"0123456789")),MID($L10,3,1),IF(ISNUMBER(FIND(MID($L10,3,1),"ABCDEFGHIJKLMNOPQRSTUVWXYZ")),CODE(MID($L10,3,1))-55,"#")))</f>
        <v>0</v>
      </c>
      <c r="Q10" s="18" t="str">
        <f aca="false">IF(LEN($L10)&lt;4,"",IF(ISNUMBER(FIND(MID($L10,4,1),"0123456789")),MID($L10,4,1),IF(ISNUMBER(FIND(MID($L10,4,1),"ABCDEFGHIJKLMNOPQRSTUVWXYZ")),CODE(MID($L10,4,1))-55,"#")))</f>
        <v>0</v>
      </c>
      <c r="R10" s="18" t="str">
        <f aca="false">IF(LEN($L10)&lt;5,"",IF(ISNUMBER(FIND(MID($L10,5,1),"0123456789")),MID($L10,5,1),IF(ISNUMBER(FIND(MID($L10,5,1),"ABCDEFGHIJKLMNOPQRSTUVWXYZ")),CODE(MID($L10,5,1))-55,"#")))</f>
        <v>0</v>
      </c>
      <c r="S10" s="18" t="str">
        <f aca="false">IF(LEN($L10)&lt;6,"",IF(ISNUMBER(FIND(MID($L10,6,1),"0123456789")),MID($L10,6,1),IF(ISNUMBER(FIND(MID($L10,6,1),"ABCDEFGHIJKLMNOPQRSTUVWXYZ")),CODE(MID($L10,6,1))-55,"#")))</f>
        <v>0</v>
      </c>
      <c r="T10" s="18" t="str">
        <f aca="false">IF(LEN($L10)&lt;7,"",IF(ISNUMBER(FIND(MID($L10,7,1),"0123456789")),MID($L10,7,1),IF(ISNUMBER(FIND(MID($L10,7,1),"ABCDEFGHIJKLMNOPQRSTUVWXYZ")),CODE(MID($L10,7,1))-55,"#")))</f>
        <v>0</v>
      </c>
      <c r="U10" s="18" t="str">
        <f aca="false">IF(LEN($L10)&lt;8,"",IF(ISNUMBER(FIND(MID($L10,8,1),"0123456789")),MID($L10,8,1),IF(ISNUMBER(FIND(MID($L10,8,1),"ABCDEFGHIJKLMNOPQRSTUVWXYZ")),CODE(MID($L10,8,1))-55,"#")))</f>
        <v>0</v>
      </c>
      <c r="V10" s="18" t="str">
        <f aca="false">IF(LEN($L10)&lt;9,"",IF(ISNUMBER(FIND(MID($L10,9,1),"0123456789")),MID($L10,9,1),IF(ISNUMBER(FIND(MID($L10,9,1),"ABCDEFGHIJKLMNOPQRSTUVWXYZ")),CODE(MID($L10,9,1))-55,"#")))</f>
        <v>6</v>
      </c>
      <c r="W10" s="18" t="str">
        <f aca="false">IF(LEN($L10)&lt;10,"",IF(ISNUMBER(FIND(MID($L10,10,1),"0123456789")),MID($L10,10,1),IF(ISNUMBER(FIND(MID($L10,10,1),"ABCDEFGHIJKLMNOPQRSTUVWXYZ")),CODE(MID($L10,10,1))-55,"#")))</f>
        <v>0</v>
      </c>
      <c r="X10" s="18" t="str">
        <f aca="false">IF(LEN($L10)&lt;11,"",IF(ISNUMBER(FIND(MID($L10,11,1),"0123456789")),MID($L10,11,1),IF(ISNUMBER(FIND(MID($L10,11,1),"ABCDEFGHIJKLMNOPQRSTUVWXYZ")),CODE(MID($L10,11,1))-55,"#")))</f>
        <v>8</v>
      </c>
      <c r="Y10" s="18" t="str">
        <f aca="false">IF(LEN($L10)&lt;12,"",IF(ISNUMBER(FIND(MID($L10,12,1),"0123456789")),MID($L10,12,1),IF(ISNUMBER(FIND(MID($L10,12,1),"ABCDEFGHIJKLMNOPQRSTUVWXYZ")),CODE(MID($L10,12,1))-55,"#")))</f>
        <v>0</v>
      </c>
      <c r="Z10" s="18" t="str">
        <f aca="false">IF(LEN($L10)&lt;13,"",IF(ISNUMBER(FIND(MID($L10,13,1),"0123456789")),MID($L10,13,1),IF(ISNUMBER(FIND(MID($L10,13,1),"ABCDEFGHIJKLMNOPQRSTUVWXYZ")),CODE(MID($L10,13,1))-55,"#")))</f>
        <v>1</v>
      </c>
      <c r="AA10" s="18" t="str">
        <f aca="false">IF(LEN($L10)&lt;14,"",IF(ISNUMBER(FIND(MID($L10,14,1),"0123456789")),MID($L10,14,1),IF(ISNUMBER(FIND(MID($L10,14,1),"ABCDEFGHIJKLMNOPQRSTUVWXYZ")),CODE(MID($L10,14,1))-55,"#")))</f>
        <v>0</v>
      </c>
      <c r="AB10" s="18" t="str">
        <f aca="false">IF(LEN($L10)&lt;15,"",IF(ISNUMBER(FIND(MID($L10,15,1),"0123456789")),MID($L10,15,1),IF(ISNUMBER(FIND(MID($L10,15,1),"ABCDEFGHIJKLMNOPQRSTUVWXYZ")),CODE(MID($L10,15,1))-55,"#")))</f>
        <v>1</v>
      </c>
      <c r="AC10" s="18" t="str">
        <f aca="false">IF(LEN($L10)&lt;16,"",IF(ISNUMBER(FIND(MID($L10,16,1),"0123456789")),MID($L10,16,1),IF(ISNUMBER(FIND(MID($L10,16,1),"ABCDEFGHIJKLMNOPQRSTUVWXYZ")),CODE(MID($L10,16,1))-55,"#")))</f>
        <v>6</v>
      </c>
      <c r="AD10" s="18" t="str">
        <f aca="false">IF(LEN($L10)&lt;17,"",IF(ISNUMBER(FIND(MID($L10,17,1),"0123456789")),MID($L10,17,1),IF(ISNUMBER(FIND(MID($L10,17,1),"ABCDEFGHIJKLMNOPQRSTUVWXYZ")),CODE(MID($L10,17,1))-55,"#")))</f>
        <v>7</v>
      </c>
      <c r="AE10" s="18" t="str">
        <f aca="false">IF(LEN($L10)&lt;18,"",IF(ISNUMBER(FIND(MID($L10,18,1),"0123456789")),MID($L10,18,1),IF(ISNUMBER(FIND(MID($L10,18,1),"ABCDEFGHIJKLMNOPQRSTUVWXYZ")),CODE(MID($L10,18,1))-55,"#")))</f>
        <v>5</v>
      </c>
      <c r="AF10" s="18" t="str">
        <f aca="false">IF(LEN($L10)&lt;19,"",IF(ISNUMBER(FIND(MID($L10,19,1),"0123456789")),MID($L10,19,1),IF(ISNUMBER(FIND(MID($L10,19,1),"ABCDEFGHIJKLMNOPQRSTUVWXYZ")),CODE(MID($L10,19,1))-55,"#")))</f>
        <v>1</v>
      </c>
      <c r="AG10" s="18" t="str">
        <f aca="false">IF(LEN($L10)&lt;20,"",IF(ISNUMBER(FIND(MID($L10,20,1),"0123456789")),MID($L10,20,1),IF(ISNUMBER(FIND(MID($L10,20,1),"ABCDEFGHIJKLMNOPQRSTUVWXYZ")),CODE(MID($L10,20,1))-55,"#")))</f>
        <v>9</v>
      </c>
      <c r="AH10" s="18" t="n">
        <f aca="false">IF(LEN($L10)&lt;21,"",IF(ISNUMBER(FIND(MID($L10,21,1),"0123456789")),MID($L10,21,1),IF(ISNUMBER(FIND(MID($L10,21,1),"ABCDEFGHIJKLMNOPQRSTUVWXYZ")),CODE(MID($L10,21,1))-55,"#")))</f>
        <v>28</v>
      </c>
      <c r="AI10" s="18" t="n">
        <f aca="false">IF(LEN($L10)&lt;22,"",IF(ISNUMBER(FIND(MID($L10,22,1),"0123456789")),MID($L10,22,1),IF(ISNUMBER(FIND(MID($L10,22,1),"ABCDEFGHIJKLMNOPQRSTUVWXYZ")),CODE(MID($L10,22,1))-55,"#")))</f>
        <v>10</v>
      </c>
      <c r="AJ10" s="18" t="str">
        <f aca="false">IF(LEN($L10)&lt;23,"",IF(ISNUMBER(FIND(MID($L10,23,1),"0123456789")),MID($L10,23,1),IF(ISNUMBER(FIND(MID($L10,23,1),"ABCDEFGHIJKLMNOPQRSTUVWXYZ")),CODE(MID($L10,23,1))-55,"#")))</f>
        <v>3</v>
      </c>
      <c r="AK10" s="18" t="str">
        <f aca="false">IF(LEN($L10)&lt;24,"",IF(ISNUMBER(FIND(MID($L10,24,1),"0123456789")),MID($L10,24,1),IF(ISNUMBER(FIND(MID($L10,24,1),"ABCDEFGHIJKLMNOPQRSTUVWXYZ")),CODE(MID($L10,24,1))-55,"#")))</f>
        <v>3</v>
      </c>
      <c r="AL10" s="18" t="str">
        <f aca="false">IF(LEN($L10)&lt;25,"",IF(ISNUMBER(FIND(MID($L10,25,1),"0123456789")),MID($L10,25,1),IF(ISNUMBER(FIND(MID($L10,25,1),"ABCDEFGHIJKLMNOPQRSTUVWXYZ")),CODE(MID($L10,25,1))-55,"#")))</f>
        <v/>
      </c>
      <c r="AM10" s="18" t="str">
        <f aca="false">IF(LEN($L10)&lt;26,"",IF(ISNUMBER(FIND(MID($L10,26,1),"0123456789")),MID($L10,26,1),IF(ISNUMBER(FIND(MID($L10,26,1),"ABCDEFGHIJKLMNOPQRSTUVWXYZ")),CODE(MID($L10,26,1))-55,"#")))</f>
        <v/>
      </c>
      <c r="AN10" s="18" t="str">
        <f aca="false">IF(LEN($L10)&lt;27,"",IF(ISNUMBER(FIND(MID($L10,27,1),"0123456789")),MID($L10,27,1),IF(ISNUMBER(FIND(MID($L10,27,1),"ABCDEFGHIJKLMNOPQRSTUVWXYZ")),CODE(MID($L10,27,1))-55,"#")))</f>
        <v/>
      </c>
      <c r="AO10" s="18" t="str">
        <f aca="false">IF(LEN($L10)&lt;28,"",IF(ISNUMBER(FIND(MID($L10,28,1),"0123456789")),MID($L10,28,1),IF(ISNUMBER(FIND(MID($L10,28,1),"ABCDEFGHIJKLMNOPQRSTUVWXYZ")),CODE(MID($L10,28,1))-55,"#")))</f>
        <v/>
      </c>
      <c r="AP10" s="18" t="str">
        <f aca="false">IF(LEN($L10)&lt;29,"",IF(ISNUMBER(FIND(MID($L10,29,1),"0123456789")),MID($L10,29,1),IF(ISNUMBER(FIND(MID($L10,29,1),"ABCDEFGHIJKLMNOPQRSTUVWXYZ")),CODE(MID($L10,29,1))-55,"#")))</f>
        <v/>
      </c>
      <c r="AQ10" s="18" t="str">
        <f aca="false">IF(LEN($L10)&lt;30,"",IF(ISNUMBER(FIND(MID($L10,30,1),"0123456789")),MID($L10,30,1),IF(ISNUMBER(FIND(MID($L10,30,1),"ABCDEFGHIJKLMNOPQRSTUVWXYZ")),CODE(MID($L10,30,1))-55,"#")))</f>
        <v/>
      </c>
      <c r="AR10" s="18" t="str">
        <f aca="false">IF(LEN($L10)&lt;31,"",IF(ISNUMBER(FIND(MID($L10,31,1),"0123456789")),MID($L10,31,1),IF(ISNUMBER(FIND(MID($L10,31,1),"ABCDEFGHIJKLMNOPQRSTUVWXYZ")),CODE(MID($L10,31,1))-55,"#")))</f>
        <v/>
      </c>
      <c r="AS10" s="18" t="str">
        <f aca="false">IF(LEN($L10)&lt;32,"",IF(ISNUMBER(FIND(MID($L10,32,1),"0123456789")),MID($L10,32,1),IF(ISNUMBER(FIND(MID($L10,32,1),"ABCDEFGHIJKLMNOPQRSTUVWXYZ")),CODE(MID($L10,32,1))-55,"#")))</f>
        <v/>
      </c>
      <c r="AT10" s="18" t="str">
        <f aca="false">IF(LEN($L10)&lt;33,"",IF(ISNUMBER(FIND(MID($L10,33,1),"0123456789")),MID($L10,33,1),IF(ISNUMBER(FIND(MID($L10,33,1),"ABCDEFGHIJKLMNOPQRSTUVWXYZ")),CODE(MID($L10,33,1))-55,"#")))</f>
        <v/>
      </c>
      <c r="AU10" s="18" t="str">
        <f aca="false">IF(LEN($L10)&lt;34,"",IF(ISNUMBER(FIND(MID($L10,34,1),"0123456789")),MID($L10,34,1),IF(ISNUMBER(FIND(MID($L10,34,1),"ABCDEFGHIJKLMNOPQRSTUVWXYZ")),CODE(MID($L10,34,1))-55,"#")))</f>
        <v/>
      </c>
      <c r="AV10" s="18" t="str">
        <f aca="false">_xlfn.CONCAT(N10:AU10)</f>
        <v>99000000608010167519281033</v>
      </c>
      <c r="AW10" s="18" t="n">
        <f aca="false">IF(OR(AV10="",M10=FALSE()),"",MOD(VALUE(MID(AV10,1,9)),97))</f>
        <v>61</v>
      </c>
      <c r="AX10" s="18" t="n">
        <f aca="false">IF(AW10="","",MOD(VALUE(AW10&amp;MID(AV10,10,7)),97))</f>
        <v>67</v>
      </c>
      <c r="AY10" s="18" t="n">
        <f aca="false">IF(AX10="","",MOD(VALUE(AX10&amp;MID(AV10,17,7)),97))</f>
        <v>83</v>
      </c>
      <c r="AZ10" s="18" t="n">
        <f aca="false">IF(AY10="","",MOD(VALUE(AY10&amp;MID(AV10,24,7)),97))</f>
        <v>1</v>
      </c>
      <c r="BA10" s="18" t="n">
        <f aca="false">IF(AZ10="","",MOD(VALUE(AZ10&amp;MID(AV10,31,7)),97))</f>
        <v>1</v>
      </c>
      <c r="BB10" s="18" t="n">
        <f aca="false">IF(BA10="","",MOD(VALUE(BA10&amp;MID(AV10,38,7)),97))</f>
        <v>1</v>
      </c>
      <c r="BC10" s="18" t="n">
        <f aca="false">IF(BB10="","",MOD(VALUE(BB10&amp;MID(AV10,45,7)),97))</f>
        <v>1</v>
      </c>
      <c r="BD10" s="18" t="n">
        <f aca="false">IF(BC10="","",MOD(VALUE(BC10&amp;MID(AV10,52,7)),97))</f>
        <v>1</v>
      </c>
      <c r="BE10" s="18" t="n">
        <f aca="false">IF(BD10="","",MOD(VALUE(BD10&amp;MID(AV10,59,7)),97))</f>
        <v>1</v>
      </c>
      <c r="BF10" s="18" t="n">
        <f aca="false">IF(BE10="","",MOD(VALUE(BE10&amp;MID(AV10,66,7)),97))</f>
        <v>1</v>
      </c>
    </row>
    <row r="11" customFormat="false" ht="15" hidden="false" customHeight="false" outlineLevel="0" collapsed="false">
      <c r="A11" s="11" t="s">
        <v>230</v>
      </c>
      <c r="B11" s="5" t="str">
        <f aca="false">UPPER(SUBSTITUTE(SUBSTITUTE(SUBSTITUTE(TRIM(A11)," ",""),"-",""),CHAR(160),""))</f>
        <v>AE070331234567890123456</v>
      </c>
      <c r="C11" s="5" t="n">
        <f aca="false">IF(B11="","",LEN(B11))</f>
        <v>23</v>
      </c>
      <c r="D11" s="5" t="str">
        <f aca="false">IF(B11="","",LEFT(B11,2))</f>
        <v>AE</v>
      </c>
      <c r="E11" s="5" t="str">
        <f aca="false">IF(B11="","",MID(B11,3,2))</f>
        <v>07</v>
      </c>
      <c r="F11" s="5" t="str">
        <f aca="false">IF(B11="","",MID(B11,5,2))</f>
        <v>03</v>
      </c>
      <c r="G11" s="5" t="str">
        <f aca="false">IF(B11="","",IFERROR(INDEX('رموز البنوك'!$C$5:$C$30,MATCH(F11,'رموز البنوك'!$B$5:$B$30,0)),"رمز غير معروف"))</f>
        <v>رمز غير معروف</v>
      </c>
      <c r="H11" s="5" t="n">
        <f aca="false">BF11</f>
        <v>1</v>
      </c>
      <c r="I11" s="5" t="str">
        <f aca="false">IF(OR(H11="",NOT(AND(ISNUMBER(FIND(MID(B11,3,1),"0123456789")),ISNUMBER(FIND(MID(B11,4,1),"0123456789"))))),"",TEXT(98-MOD(H11-VALUE(E11),97),"00"))</f>
        <v>07</v>
      </c>
      <c r="J11" s="4" t="str">
        <f aca="false">IF(B11="","",IF(LEFT(K11,10)="آيبان صحيح","صحيح ✓","غير صحيح ✗"))</f>
        <v>غير صحيح ✗</v>
      </c>
      <c r="K11" s="10" t="str">
        <f aca="false">IF(B11="","",IF(M11=FALSE(),"يحتوي رموزاً غير مسموحة (المسموح A–Z و 0–9 فقط)",IF(D11&lt;&gt;"SA","رمز الدولة "&amp;D11&amp;" — هذا المدقق للآيبان السعودي SA",IF(C11&lt;&gt;24,"الطول "&amp;C11&amp;" خانة والمطلوب 24",IF(NOT(AND(ISNUMBER(FIND(MID(B11,3,1),"0123456789")),ISNUMBER(FIND(MID(B11,4,1),"0123456789")))),"خانتا التدقيق يجب أن تكونا رقمين",IF(ISERROR(VALUE(MID(B11,5,20))),"رمز البنك ورقم الحساب يجب أن يكونا أرقاماً",IF(H11&lt;&gt;1,"فشل اختبار MOD-97 (الباقي "&amp;H11&amp;" وليس 1) — خطأ في كتابة الرقم؛ خانتا التدقيق الصحيحتان لهذا الحساب "&amp;I11,IF(G11="رمز غير معروف","اجتاز MOD-97 لكن رمز البنك "&amp;F11&amp;" غير مسجل في جدول البنوك","آيبان صحيح — "&amp;G11))))))))</f>
        <v>رمز الدولة AE — هذا المدقق للآيبان السعودي SA</v>
      </c>
      <c r="L11" s="18" t="str">
        <f aca="false">IF(B11="","",MID(B11,5,40)&amp;LEFT(B11,4))</f>
        <v>0331234567890123456AE07</v>
      </c>
      <c r="M11" s="19" t="b">
        <f aca="false">IF(L11="","",NOT(ISNUMBER(FIND("#",AV11))))</f>
        <v>1</v>
      </c>
      <c r="N11" s="18" t="str">
        <f aca="false">IF(LEN($L11)&lt;1,"",IF(ISNUMBER(FIND(MID($L11,1,1),"0123456789")),MID($L11,1,1),IF(ISNUMBER(FIND(MID($L11,1,1),"ABCDEFGHIJKLMNOPQRSTUVWXYZ")),CODE(MID($L11,1,1))-55,"#")))</f>
        <v>0</v>
      </c>
      <c r="O11" s="18" t="str">
        <f aca="false">IF(LEN($L11)&lt;2,"",IF(ISNUMBER(FIND(MID($L11,2,1),"0123456789")),MID($L11,2,1),IF(ISNUMBER(FIND(MID($L11,2,1),"ABCDEFGHIJKLMNOPQRSTUVWXYZ")),CODE(MID($L11,2,1))-55,"#")))</f>
        <v>3</v>
      </c>
      <c r="P11" s="18" t="str">
        <f aca="false">IF(LEN($L11)&lt;3,"",IF(ISNUMBER(FIND(MID($L11,3,1),"0123456789")),MID($L11,3,1),IF(ISNUMBER(FIND(MID($L11,3,1),"ABCDEFGHIJKLMNOPQRSTUVWXYZ")),CODE(MID($L11,3,1))-55,"#")))</f>
        <v>3</v>
      </c>
      <c r="Q11" s="18" t="str">
        <f aca="false">IF(LEN($L11)&lt;4,"",IF(ISNUMBER(FIND(MID($L11,4,1),"0123456789")),MID($L11,4,1),IF(ISNUMBER(FIND(MID($L11,4,1),"ABCDEFGHIJKLMNOPQRSTUVWXYZ")),CODE(MID($L11,4,1))-55,"#")))</f>
        <v>1</v>
      </c>
      <c r="R11" s="18" t="str">
        <f aca="false">IF(LEN($L11)&lt;5,"",IF(ISNUMBER(FIND(MID($L11,5,1),"0123456789")),MID($L11,5,1),IF(ISNUMBER(FIND(MID($L11,5,1),"ABCDEFGHIJKLMNOPQRSTUVWXYZ")),CODE(MID($L11,5,1))-55,"#")))</f>
        <v>2</v>
      </c>
      <c r="S11" s="18" t="str">
        <f aca="false">IF(LEN($L11)&lt;6,"",IF(ISNUMBER(FIND(MID($L11,6,1),"0123456789")),MID($L11,6,1),IF(ISNUMBER(FIND(MID($L11,6,1),"ABCDEFGHIJKLMNOPQRSTUVWXYZ")),CODE(MID($L11,6,1))-55,"#")))</f>
        <v>3</v>
      </c>
      <c r="T11" s="18" t="str">
        <f aca="false">IF(LEN($L11)&lt;7,"",IF(ISNUMBER(FIND(MID($L11,7,1),"0123456789")),MID($L11,7,1),IF(ISNUMBER(FIND(MID($L11,7,1),"ABCDEFGHIJKLMNOPQRSTUVWXYZ")),CODE(MID($L11,7,1))-55,"#")))</f>
        <v>4</v>
      </c>
      <c r="U11" s="18" t="str">
        <f aca="false">IF(LEN($L11)&lt;8,"",IF(ISNUMBER(FIND(MID($L11,8,1),"0123456789")),MID($L11,8,1),IF(ISNUMBER(FIND(MID($L11,8,1),"ABCDEFGHIJKLMNOPQRSTUVWXYZ")),CODE(MID($L11,8,1))-55,"#")))</f>
        <v>5</v>
      </c>
      <c r="V11" s="18" t="str">
        <f aca="false">IF(LEN($L11)&lt;9,"",IF(ISNUMBER(FIND(MID($L11,9,1),"0123456789")),MID($L11,9,1),IF(ISNUMBER(FIND(MID($L11,9,1),"ABCDEFGHIJKLMNOPQRSTUVWXYZ")),CODE(MID($L11,9,1))-55,"#")))</f>
        <v>6</v>
      </c>
      <c r="W11" s="18" t="str">
        <f aca="false">IF(LEN($L11)&lt;10,"",IF(ISNUMBER(FIND(MID($L11,10,1),"0123456789")),MID($L11,10,1),IF(ISNUMBER(FIND(MID($L11,10,1),"ABCDEFGHIJKLMNOPQRSTUVWXYZ")),CODE(MID($L11,10,1))-55,"#")))</f>
        <v>7</v>
      </c>
      <c r="X11" s="18" t="str">
        <f aca="false">IF(LEN($L11)&lt;11,"",IF(ISNUMBER(FIND(MID($L11,11,1),"0123456789")),MID($L11,11,1),IF(ISNUMBER(FIND(MID($L11,11,1),"ABCDEFGHIJKLMNOPQRSTUVWXYZ")),CODE(MID($L11,11,1))-55,"#")))</f>
        <v>8</v>
      </c>
      <c r="Y11" s="18" t="str">
        <f aca="false">IF(LEN($L11)&lt;12,"",IF(ISNUMBER(FIND(MID($L11,12,1),"0123456789")),MID($L11,12,1),IF(ISNUMBER(FIND(MID($L11,12,1),"ABCDEFGHIJKLMNOPQRSTUVWXYZ")),CODE(MID($L11,12,1))-55,"#")))</f>
        <v>9</v>
      </c>
      <c r="Z11" s="18" t="str">
        <f aca="false">IF(LEN($L11)&lt;13,"",IF(ISNUMBER(FIND(MID($L11,13,1),"0123456789")),MID($L11,13,1),IF(ISNUMBER(FIND(MID($L11,13,1),"ABCDEFGHIJKLMNOPQRSTUVWXYZ")),CODE(MID($L11,13,1))-55,"#")))</f>
        <v>0</v>
      </c>
      <c r="AA11" s="18" t="str">
        <f aca="false">IF(LEN($L11)&lt;14,"",IF(ISNUMBER(FIND(MID($L11,14,1),"0123456789")),MID($L11,14,1),IF(ISNUMBER(FIND(MID($L11,14,1),"ABCDEFGHIJKLMNOPQRSTUVWXYZ")),CODE(MID($L11,14,1))-55,"#")))</f>
        <v>1</v>
      </c>
      <c r="AB11" s="18" t="str">
        <f aca="false">IF(LEN($L11)&lt;15,"",IF(ISNUMBER(FIND(MID($L11,15,1),"0123456789")),MID($L11,15,1),IF(ISNUMBER(FIND(MID($L11,15,1),"ABCDEFGHIJKLMNOPQRSTUVWXYZ")),CODE(MID($L11,15,1))-55,"#")))</f>
        <v>2</v>
      </c>
      <c r="AC11" s="18" t="str">
        <f aca="false">IF(LEN($L11)&lt;16,"",IF(ISNUMBER(FIND(MID($L11,16,1),"0123456789")),MID($L11,16,1),IF(ISNUMBER(FIND(MID($L11,16,1),"ABCDEFGHIJKLMNOPQRSTUVWXYZ")),CODE(MID($L11,16,1))-55,"#")))</f>
        <v>3</v>
      </c>
      <c r="AD11" s="18" t="str">
        <f aca="false">IF(LEN($L11)&lt;17,"",IF(ISNUMBER(FIND(MID($L11,17,1),"0123456789")),MID($L11,17,1),IF(ISNUMBER(FIND(MID($L11,17,1),"ABCDEFGHIJKLMNOPQRSTUVWXYZ")),CODE(MID($L11,17,1))-55,"#")))</f>
        <v>4</v>
      </c>
      <c r="AE11" s="18" t="str">
        <f aca="false">IF(LEN($L11)&lt;18,"",IF(ISNUMBER(FIND(MID($L11,18,1),"0123456789")),MID($L11,18,1),IF(ISNUMBER(FIND(MID($L11,18,1),"ABCDEFGHIJKLMNOPQRSTUVWXYZ")),CODE(MID($L11,18,1))-55,"#")))</f>
        <v>5</v>
      </c>
      <c r="AF11" s="18" t="str">
        <f aca="false">IF(LEN($L11)&lt;19,"",IF(ISNUMBER(FIND(MID($L11,19,1),"0123456789")),MID($L11,19,1),IF(ISNUMBER(FIND(MID($L11,19,1),"ABCDEFGHIJKLMNOPQRSTUVWXYZ")),CODE(MID($L11,19,1))-55,"#")))</f>
        <v>6</v>
      </c>
      <c r="AG11" s="18" t="n">
        <f aca="false">IF(LEN($L11)&lt;20,"",IF(ISNUMBER(FIND(MID($L11,20,1),"0123456789")),MID($L11,20,1),IF(ISNUMBER(FIND(MID($L11,20,1),"ABCDEFGHIJKLMNOPQRSTUVWXYZ")),CODE(MID($L11,20,1))-55,"#")))</f>
        <v>10</v>
      </c>
      <c r="AH11" s="18" t="n">
        <f aca="false">IF(LEN($L11)&lt;21,"",IF(ISNUMBER(FIND(MID($L11,21,1),"0123456789")),MID($L11,21,1),IF(ISNUMBER(FIND(MID($L11,21,1),"ABCDEFGHIJKLMNOPQRSTUVWXYZ")),CODE(MID($L11,21,1))-55,"#")))</f>
        <v>14</v>
      </c>
      <c r="AI11" s="18" t="str">
        <f aca="false">IF(LEN($L11)&lt;22,"",IF(ISNUMBER(FIND(MID($L11,22,1),"0123456789")),MID($L11,22,1),IF(ISNUMBER(FIND(MID($L11,22,1),"ABCDEFGHIJKLMNOPQRSTUVWXYZ")),CODE(MID($L11,22,1))-55,"#")))</f>
        <v>0</v>
      </c>
      <c r="AJ11" s="18" t="str">
        <f aca="false">IF(LEN($L11)&lt;23,"",IF(ISNUMBER(FIND(MID($L11,23,1),"0123456789")),MID($L11,23,1),IF(ISNUMBER(FIND(MID($L11,23,1),"ABCDEFGHIJKLMNOPQRSTUVWXYZ")),CODE(MID($L11,23,1))-55,"#")))</f>
        <v>7</v>
      </c>
      <c r="AK11" s="18" t="str">
        <f aca="false">IF(LEN($L11)&lt;24,"",IF(ISNUMBER(FIND(MID($L11,24,1),"0123456789")),MID($L11,24,1),IF(ISNUMBER(FIND(MID($L11,24,1),"ABCDEFGHIJKLMNOPQRSTUVWXYZ")),CODE(MID($L11,24,1))-55,"#")))</f>
        <v/>
      </c>
      <c r="AL11" s="18" t="str">
        <f aca="false">IF(LEN($L11)&lt;25,"",IF(ISNUMBER(FIND(MID($L11,25,1),"0123456789")),MID($L11,25,1),IF(ISNUMBER(FIND(MID($L11,25,1),"ABCDEFGHIJKLMNOPQRSTUVWXYZ")),CODE(MID($L11,25,1))-55,"#")))</f>
        <v/>
      </c>
      <c r="AM11" s="18" t="str">
        <f aca="false">IF(LEN($L11)&lt;26,"",IF(ISNUMBER(FIND(MID($L11,26,1),"0123456789")),MID($L11,26,1),IF(ISNUMBER(FIND(MID($L11,26,1),"ABCDEFGHIJKLMNOPQRSTUVWXYZ")),CODE(MID($L11,26,1))-55,"#")))</f>
        <v/>
      </c>
      <c r="AN11" s="18" t="str">
        <f aca="false">IF(LEN($L11)&lt;27,"",IF(ISNUMBER(FIND(MID($L11,27,1),"0123456789")),MID($L11,27,1),IF(ISNUMBER(FIND(MID($L11,27,1),"ABCDEFGHIJKLMNOPQRSTUVWXYZ")),CODE(MID($L11,27,1))-55,"#")))</f>
        <v/>
      </c>
      <c r="AO11" s="18" t="str">
        <f aca="false">IF(LEN($L11)&lt;28,"",IF(ISNUMBER(FIND(MID($L11,28,1),"0123456789")),MID($L11,28,1),IF(ISNUMBER(FIND(MID($L11,28,1),"ABCDEFGHIJKLMNOPQRSTUVWXYZ")),CODE(MID($L11,28,1))-55,"#")))</f>
        <v/>
      </c>
      <c r="AP11" s="18" t="str">
        <f aca="false">IF(LEN($L11)&lt;29,"",IF(ISNUMBER(FIND(MID($L11,29,1),"0123456789")),MID($L11,29,1),IF(ISNUMBER(FIND(MID($L11,29,1),"ABCDEFGHIJKLMNOPQRSTUVWXYZ")),CODE(MID($L11,29,1))-55,"#")))</f>
        <v/>
      </c>
      <c r="AQ11" s="18" t="str">
        <f aca="false">IF(LEN($L11)&lt;30,"",IF(ISNUMBER(FIND(MID($L11,30,1),"0123456789")),MID($L11,30,1),IF(ISNUMBER(FIND(MID($L11,30,1),"ABCDEFGHIJKLMNOPQRSTUVWXYZ")),CODE(MID($L11,30,1))-55,"#")))</f>
        <v/>
      </c>
      <c r="AR11" s="18" t="str">
        <f aca="false">IF(LEN($L11)&lt;31,"",IF(ISNUMBER(FIND(MID($L11,31,1),"0123456789")),MID($L11,31,1),IF(ISNUMBER(FIND(MID($L11,31,1),"ABCDEFGHIJKLMNOPQRSTUVWXYZ")),CODE(MID($L11,31,1))-55,"#")))</f>
        <v/>
      </c>
      <c r="AS11" s="18" t="str">
        <f aca="false">IF(LEN($L11)&lt;32,"",IF(ISNUMBER(FIND(MID($L11,32,1),"0123456789")),MID($L11,32,1),IF(ISNUMBER(FIND(MID($L11,32,1),"ABCDEFGHIJKLMNOPQRSTUVWXYZ")),CODE(MID($L11,32,1))-55,"#")))</f>
        <v/>
      </c>
      <c r="AT11" s="18" t="str">
        <f aca="false">IF(LEN($L11)&lt;33,"",IF(ISNUMBER(FIND(MID($L11,33,1),"0123456789")),MID($L11,33,1),IF(ISNUMBER(FIND(MID($L11,33,1),"ABCDEFGHIJKLMNOPQRSTUVWXYZ")),CODE(MID($L11,33,1))-55,"#")))</f>
        <v/>
      </c>
      <c r="AU11" s="18" t="str">
        <f aca="false">IF(LEN($L11)&lt;34,"",IF(ISNUMBER(FIND(MID($L11,34,1),"0123456789")),MID($L11,34,1),IF(ISNUMBER(FIND(MID($L11,34,1),"ABCDEFGHIJKLMNOPQRSTUVWXYZ")),CODE(MID($L11,34,1))-55,"#")))</f>
        <v/>
      </c>
      <c r="AV11" s="18" t="str">
        <f aca="false">_xlfn.CONCAT(N11:AU11)</f>
        <v>0331234567890123456101407</v>
      </c>
      <c r="AW11" s="18" t="n">
        <f aca="false">IF(OR(AV11="",M11=FALSE()),"",MOD(VALUE(MID(AV11,1,9)),97))</f>
        <v>90</v>
      </c>
      <c r="AX11" s="18" t="n">
        <f aca="false">IF(AW11="","",MOD(VALUE(AW11&amp;MID(AV11,10,7)),97))</f>
        <v>96</v>
      </c>
      <c r="AY11" s="18" t="n">
        <f aca="false">IF(AX11="","",MOD(VALUE(AX11&amp;MID(AV11,17,7)),97))</f>
        <v>95</v>
      </c>
      <c r="AZ11" s="18" t="n">
        <f aca="false">IF(AY11="","",MOD(VALUE(AY11&amp;MID(AV11,24,7)),97))</f>
        <v>1</v>
      </c>
      <c r="BA11" s="18" t="n">
        <f aca="false">IF(AZ11="","",MOD(VALUE(AZ11&amp;MID(AV11,31,7)),97))</f>
        <v>1</v>
      </c>
      <c r="BB11" s="18" t="n">
        <f aca="false">IF(BA11="","",MOD(VALUE(BA11&amp;MID(AV11,38,7)),97))</f>
        <v>1</v>
      </c>
      <c r="BC11" s="18" t="n">
        <f aca="false">IF(BB11="","",MOD(VALUE(BB11&amp;MID(AV11,45,7)),97))</f>
        <v>1</v>
      </c>
      <c r="BD11" s="18" t="n">
        <f aca="false">IF(BC11="","",MOD(VALUE(BC11&amp;MID(AV11,52,7)),97))</f>
        <v>1</v>
      </c>
      <c r="BE11" s="18" t="n">
        <f aca="false">IF(BD11="","",MOD(VALUE(BD11&amp;MID(AV11,59,7)),97))</f>
        <v>1</v>
      </c>
      <c r="BF11" s="18" t="n">
        <f aca="false">IF(BE11="","",MOD(VALUE(BE11&amp;MID(AV11,66,7)),97))</f>
        <v>1</v>
      </c>
    </row>
    <row r="12" customFormat="false" ht="15" hidden="false" customHeight="false" outlineLevel="0" collapsed="false">
      <c r="A12" s="11" t="s">
        <v>231</v>
      </c>
      <c r="B12" s="5" t="str">
        <f aca="false">UPPER(SUBSTITUTE(SUBSTITUTE(SUBSTITUTE(TRIM(A12)," ",""),"-",""),CHAR(160),""))</f>
        <v>SA4778000000001181159355</v>
      </c>
      <c r="C12" s="5" t="n">
        <f aca="false">IF(B12="","",LEN(B12))</f>
        <v>24</v>
      </c>
      <c r="D12" s="5" t="str">
        <f aca="false">IF(B12="","",LEFT(B12,2))</f>
        <v>SA</v>
      </c>
      <c r="E12" s="5" t="str">
        <f aca="false">IF(B12="","",MID(B12,3,2))</f>
        <v>47</v>
      </c>
      <c r="F12" s="5" t="str">
        <f aca="false">IF(B12="","",MID(B12,5,2))</f>
        <v>78</v>
      </c>
      <c r="G12" s="5" t="str">
        <f aca="false">IF(B12="","",IFERROR(INDEX('رموز البنوك'!$C$5:$C$30,MATCH(F12,'رموز البنوك'!$B$5:$B$30,0)),"رمز غير معروف"))</f>
        <v>بنك إس تي سي (STC Bank)</v>
      </c>
      <c r="H12" s="5" t="n">
        <f aca="false">BF12</f>
        <v>1</v>
      </c>
      <c r="I12" s="5" t="str">
        <f aca="false">IF(OR(H12="",NOT(AND(ISNUMBER(FIND(MID(B12,3,1),"0123456789")),ISNUMBER(FIND(MID(B12,4,1),"0123456789"))))),"",TEXT(98-MOD(H12-VALUE(E12),97),"00"))</f>
        <v>47</v>
      </c>
      <c r="J12" s="4" t="str">
        <f aca="false">IF(B12="","",IF(LEFT(K12,10)="آيبان صحيح","صحيح ✓","غير صحيح ✗"))</f>
        <v>صحيح ✓</v>
      </c>
      <c r="K12" s="10" t="str">
        <f aca="false">IF(B12="","",IF(M12=FALSE(),"يحتوي رموزاً غير مسموحة (المسموح A–Z و 0–9 فقط)",IF(D12&lt;&gt;"SA","رمز الدولة "&amp;D12&amp;" — هذا المدقق للآيبان السعودي SA",IF(C12&lt;&gt;24,"الطول "&amp;C12&amp;" خانة والمطلوب 24",IF(NOT(AND(ISNUMBER(FIND(MID(B12,3,1),"0123456789")),ISNUMBER(FIND(MID(B12,4,1),"0123456789")))),"خانتا التدقيق يجب أن تكونا رقمين",IF(ISERROR(VALUE(MID(B12,5,20))),"رمز البنك ورقم الحساب يجب أن يكونا أرقاماً",IF(H12&lt;&gt;1,"فشل اختبار MOD-97 (الباقي "&amp;H12&amp;" وليس 1) — خطأ في كتابة الرقم؛ خانتا التدقيق الصحيحتان لهذا الحساب "&amp;I12,IF(G12="رمز غير معروف","اجتاز MOD-97 لكن رمز البنك "&amp;F12&amp;" غير مسجل في جدول البنوك","آيبان صحيح — "&amp;G12))))))))</f>
        <v>آيبان صحيح — بنك إس تي سي (STC Bank)</v>
      </c>
      <c r="L12" s="18" t="str">
        <f aca="false">IF(B12="","",MID(B12,5,40)&amp;LEFT(B12,4))</f>
        <v>78000000001181159355SA47</v>
      </c>
      <c r="M12" s="19" t="b">
        <f aca="false">IF(L12="","",NOT(ISNUMBER(FIND("#",AV12))))</f>
        <v>1</v>
      </c>
      <c r="N12" s="18" t="str">
        <f aca="false">IF(LEN($L12)&lt;1,"",IF(ISNUMBER(FIND(MID($L12,1,1),"0123456789")),MID($L12,1,1),IF(ISNUMBER(FIND(MID($L12,1,1),"ABCDEFGHIJKLMNOPQRSTUVWXYZ")),CODE(MID($L12,1,1))-55,"#")))</f>
        <v>7</v>
      </c>
      <c r="O12" s="18" t="str">
        <f aca="false">IF(LEN($L12)&lt;2,"",IF(ISNUMBER(FIND(MID($L12,2,1),"0123456789")),MID($L12,2,1),IF(ISNUMBER(FIND(MID($L12,2,1),"ABCDEFGHIJKLMNOPQRSTUVWXYZ")),CODE(MID($L12,2,1))-55,"#")))</f>
        <v>8</v>
      </c>
      <c r="P12" s="18" t="str">
        <f aca="false">IF(LEN($L12)&lt;3,"",IF(ISNUMBER(FIND(MID($L12,3,1),"0123456789")),MID($L12,3,1),IF(ISNUMBER(FIND(MID($L12,3,1),"ABCDEFGHIJKLMNOPQRSTUVWXYZ")),CODE(MID($L12,3,1))-55,"#")))</f>
        <v>0</v>
      </c>
      <c r="Q12" s="18" t="str">
        <f aca="false">IF(LEN($L12)&lt;4,"",IF(ISNUMBER(FIND(MID($L12,4,1),"0123456789")),MID($L12,4,1),IF(ISNUMBER(FIND(MID($L12,4,1),"ABCDEFGHIJKLMNOPQRSTUVWXYZ")),CODE(MID($L12,4,1))-55,"#")))</f>
        <v>0</v>
      </c>
      <c r="R12" s="18" t="str">
        <f aca="false">IF(LEN($L12)&lt;5,"",IF(ISNUMBER(FIND(MID($L12,5,1),"0123456789")),MID($L12,5,1),IF(ISNUMBER(FIND(MID($L12,5,1),"ABCDEFGHIJKLMNOPQRSTUVWXYZ")),CODE(MID($L12,5,1))-55,"#")))</f>
        <v>0</v>
      </c>
      <c r="S12" s="18" t="str">
        <f aca="false">IF(LEN($L12)&lt;6,"",IF(ISNUMBER(FIND(MID($L12,6,1),"0123456789")),MID($L12,6,1),IF(ISNUMBER(FIND(MID($L12,6,1),"ABCDEFGHIJKLMNOPQRSTUVWXYZ")),CODE(MID($L12,6,1))-55,"#")))</f>
        <v>0</v>
      </c>
      <c r="T12" s="18" t="str">
        <f aca="false">IF(LEN($L12)&lt;7,"",IF(ISNUMBER(FIND(MID($L12,7,1),"0123456789")),MID($L12,7,1),IF(ISNUMBER(FIND(MID($L12,7,1),"ABCDEFGHIJKLMNOPQRSTUVWXYZ")),CODE(MID($L12,7,1))-55,"#")))</f>
        <v>0</v>
      </c>
      <c r="U12" s="18" t="str">
        <f aca="false">IF(LEN($L12)&lt;8,"",IF(ISNUMBER(FIND(MID($L12,8,1),"0123456789")),MID($L12,8,1),IF(ISNUMBER(FIND(MID($L12,8,1),"ABCDEFGHIJKLMNOPQRSTUVWXYZ")),CODE(MID($L12,8,1))-55,"#")))</f>
        <v>0</v>
      </c>
      <c r="V12" s="18" t="str">
        <f aca="false">IF(LEN($L12)&lt;9,"",IF(ISNUMBER(FIND(MID($L12,9,1),"0123456789")),MID($L12,9,1),IF(ISNUMBER(FIND(MID($L12,9,1),"ABCDEFGHIJKLMNOPQRSTUVWXYZ")),CODE(MID($L12,9,1))-55,"#")))</f>
        <v>0</v>
      </c>
      <c r="W12" s="18" t="str">
        <f aca="false">IF(LEN($L12)&lt;10,"",IF(ISNUMBER(FIND(MID($L12,10,1),"0123456789")),MID($L12,10,1),IF(ISNUMBER(FIND(MID($L12,10,1),"ABCDEFGHIJKLMNOPQRSTUVWXYZ")),CODE(MID($L12,10,1))-55,"#")))</f>
        <v>0</v>
      </c>
      <c r="X12" s="18" t="str">
        <f aca="false">IF(LEN($L12)&lt;11,"",IF(ISNUMBER(FIND(MID($L12,11,1),"0123456789")),MID($L12,11,1),IF(ISNUMBER(FIND(MID($L12,11,1),"ABCDEFGHIJKLMNOPQRSTUVWXYZ")),CODE(MID($L12,11,1))-55,"#")))</f>
        <v>1</v>
      </c>
      <c r="Y12" s="18" t="str">
        <f aca="false">IF(LEN($L12)&lt;12,"",IF(ISNUMBER(FIND(MID($L12,12,1),"0123456789")),MID($L12,12,1),IF(ISNUMBER(FIND(MID($L12,12,1),"ABCDEFGHIJKLMNOPQRSTUVWXYZ")),CODE(MID($L12,12,1))-55,"#")))</f>
        <v>1</v>
      </c>
      <c r="Z12" s="18" t="str">
        <f aca="false">IF(LEN($L12)&lt;13,"",IF(ISNUMBER(FIND(MID($L12,13,1),"0123456789")),MID($L12,13,1),IF(ISNUMBER(FIND(MID($L12,13,1),"ABCDEFGHIJKLMNOPQRSTUVWXYZ")),CODE(MID($L12,13,1))-55,"#")))</f>
        <v>8</v>
      </c>
      <c r="AA12" s="18" t="str">
        <f aca="false">IF(LEN($L12)&lt;14,"",IF(ISNUMBER(FIND(MID($L12,14,1),"0123456789")),MID($L12,14,1),IF(ISNUMBER(FIND(MID($L12,14,1),"ABCDEFGHIJKLMNOPQRSTUVWXYZ")),CODE(MID($L12,14,1))-55,"#")))</f>
        <v>1</v>
      </c>
      <c r="AB12" s="18" t="str">
        <f aca="false">IF(LEN($L12)&lt;15,"",IF(ISNUMBER(FIND(MID($L12,15,1),"0123456789")),MID($L12,15,1),IF(ISNUMBER(FIND(MID($L12,15,1),"ABCDEFGHIJKLMNOPQRSTUVWXYZ")),CODE(MID($L12,15,1))-55,"#")))</f>
        <v>1</v>
      </c>
      <c r="AC12" s="18" t="str">
        <f aca="false">IF(LEN($L12)&lt;16,"",IF(ISNUMBER(FIND(MID($L12,16,1),"0123456789")),MID($L12,16,1),IF(ISNUMBER(FIND(MID($L12,16,1),"ABCDEFGHIJKLMNOPQRSTUVWXYZ")),CODE(MID($L12,16,1))-55,"#")))</f>
        <v>5</v>
      </c>
      <c r="AD12" s="18" t="str">
        <f aca="false">IF(LEN($L12)&lt;17,"",IF(ISNUMBER(FIND(MID($L12,17,1),"0123456789")),MID($L12,17,1),IF(ISNUMBER(FIND(MID($L12,17,1),"ABCDEFGHIJKLMNOPQRSTUVWXYZ")),CODE(MID($L12,17,1))-55,"#")))</f>
        <v>9</v>
      </c>
      <c r="AE12" s="18" t="str">
        <f aca="false">IF(LEN($L12)&lt;18,"",IF(ISNUMBER(FIND(MID($L12,18,1),"0123456789")),MID($L12,18,1),IF(ISNUMBER(FIND(MID($L12,18,1),"ABCDEFGHIJKLMNOPQRSTUVWXYZ")),CODE(MID($L12,18,1))-55,"#")))</f>
        <v>3</v>
      </c>
      <c r="AF12" s="18" t="str">
        <f aca="false">IF(LEN($L12)&lt;19,"",IF(ISNUMBER(FIND(MID($L12,19,1),"0123456789")),MID($L12,19,1),IF(ISNUMBER(FIND(MID($L12,19,1),"ABCDEFGHIJKLMNOPQRSTUVWXYZ")),CODE(MID($L12,19,1))-55,"#")))</f>
        <v>5</v>
      </c>
      <c r="AG12" s="18" t="str">
        <f aca="false">IF(LEN($L12)&lt;20,"",IF(ISNUMBER(FIND(MID($L12,20,1),"0123456789")),MID($L12,20,1),IF(ISNUMBER(FIND(MID($L12,20,1),"ABCDEFGHIJKLMNOPQRSTUVWXYZ")),CODE(MID($L12,20,1))-55,"#")))</f>
        <v>5</v>
      </c>
      <c r="AH12" s="18" t="n">
        <f aca="false">IF(LEN($L12)&lt;21,"",IF(ISNUMBER(FIND(MID($L12,21,1),"0123456789")),MID($L12,21,1),IF(ISNUMBER(FIND(MID($L12,21,1),"ABCDEFGHIJKLMNOPQRSTUVWXYZ")),CODE(MID($L12,21,1))-55,"#")))</f>
        <v>28</v>
      </c>
      <c r="AI12" s="18" t="n">
        <f aca="false">IF(LEN($L12)&lt;22,"",IF(ISNUMBER(FIND(MID($L12,22,1),"0123456789")),MID($L12,22,1),IF(ISNUMBER(FIND(MID($L12,22,1),"ABCDEFGHIJKLMNOPQRSTUVWXYZ")),CODE(MID($L12,22,1))-55,"#")))</f>
        <v>10</v>
      </c>
      <c r="AJ12" s="18" t="str">
        <f aca="false">IF(LEN($L12)&lt;23,"",IF(ISNUMBER(FIND(MID($L12,23,1),"0123456789")),MID($L12,23,1),IF(ISNUMBER(FIND(MID($L12,23,1),"ABCDEFGHIJKLMNOPQRSTUVWXYZ")),CODE(MID($L12,23,1))-55,"#")))</f>
        <v>4</v>
      </c>
      <c r="AK12" s="18" t="str">
        <f aca="false">IF(LEN($L12)&lt;24,"",IF(ISNUMBER(FIND(MID($L12,24,1),"0123456789")),MID($L12,24,1),IF(ISNUMBER(FIND(MID($L12,24,1),"ABCDEFGHIJKLMNOPQRSTUVWXYZ")),CODE(MID($L12,24,1))-55,"#")))</f>
        <v>7</v>
      </c>
      <c r="AL12" s="18" t="str">
        <f aca="false">IF(LEN($L12)&lt;25,"",IF(ISNUMBER(FIND(MID($L12,25,1),"0123456789")),MID($L12,25,1),IF(ISNUMBER(FIND(MID($L12,25,1),"ABCDEFGHIJKLMNOPQRSTUVWXYZ")),CODE(MID($L12,25,1))-55,"#")))</f>
        <v/>
      </c>
      <c r="AM12" s="18" t="str">
        <f aca="false">IF(LEN($L12)&lt;26,"",IF(ISNUMBER(FIND(MID($L12,26,1),"0123456789")),MID($L12,26,1),IF(ISNUMBER(FIND(MID($L12,26,1),"ABCDEFGHIJKLMNOPQRSTUVWXYZ")),CODE(MID($L12,26,1))-55,"#")))</f>
        <v/>
      </c>
      <c r="AN12" s="18" t="str">
        <f aca="false">IF(LEN($L12)&lt;27,"",IF(ISNUMBER(FIND(MID($L12,27,1),"0123456789")),MID($L12,27,1),IF(ISNUMBER(FIND(MID($L12,27,1),"ABCDEFGHIJKLMNOPQRSTUVWXYZ")),CODE(MID($L12,27,1))-55,"#")))</f>
        <v/>
      </c>
      <c r="AO12" s="18" t="str">
        <f aca="false">IF(LEN($L12)&lt;28,"",IF(ISNUMBER(FIND(MID($L12,28,1),"0123456789")),MID($L12,28,1),IF(ISNUMBER(FIND(MID($L12,28,1),"ABCDEFGHIJKLMNOPQRSTUVWXYZ")),CODE(MID($L12,28,1))-55,"#")))</f>
        <v/>
      </c>
      <c r="AP12" s="18" t="str">
        <f aca="false">IF(LEN($L12)&lt;29,"",IF(ISNUMBER(FIND(MID($L12,29,1),"0123456789")),MID($L12,29,1),IF(ISNUMBER(FIND(MID($L12,29,1),"ABCDEFGHIJKLMNOPQRSTUVWXYZ")),CODE(MID($L12,29,1))-55,"#")))</f>
        <v/>
      </c>
      <c r="AQ12" s="18" t="str">
        <f aca="false">IF(LEN($L12)&lt;30,"",IF(ISNUMBER(FIND(MID($L12,30,1),"0123456789")),MID($L12,30,1),IF(ISNUMBER(FIND(MID($L12,30,1),"ABCDEFGHIJKLMNOPQRSTUVWXYZ")),CODE(MID($L12,30,1))-55,"#")))</f>
        <v/>
      </c>
      <c r="AR12" s="18" t="str">
        <f aca="false">IF(LEN($L12)&lt;31,"",IF(ISNUMBER(FIND(MID($L12,31,1),"0123456789")),MID($L12,31,1),IF(ISNUMBER(FIND(MID($L12,31,1),"ABCDEFGHIJKLMNOPQRSTUVWXYZ")),CODE(MID($L12,31,1))-55,"#")))</f>
        <v/>
      </c>
      <c r="AS12" s="18" t="str">
        <f aca="false">IF(LEN($L12)&lt;32,"",IF(ISNUMBER(FIND(MID($L12,32,1),"0123456789")),MID($L12,32,1),IF(ISNUMBER(FIND(MID($L12,32,1),"ABCDEFGHIJKLMNOPQRSTUVWXYZ")),CODE(MID($L12,32,1))-55,"#")))</f>
        <v/>
      </c>
      <c r="AT12" s="18" t="str">
        <f aca="false">IF(LEN($L12)&lt;33,"",IF(ISNUMBER(FIND(MID($L12,33,1),"0123456789")),MID($L12,33,1),IF(ISNUMBER(FIND(MID($L12,33,1),"ABCDEFGHIJKLMNOPQRSTUVWXYZ")),CODE(MID($L12,33,1))-55,"#")))</f>
        <v/>
      </c>
      <c r="AU12" s="18" t="str">
        <f aca="false">IF(LEN($L12)&lt;34,"",IF(ISNUMBER(FIND(MID($L12,34,1),"0123456789")),MID($L12,34,1),IF(ISNUMBER(FIND(MID($L12,34,1),"ABCDEFGHIJKLMNOPQRSTUVWXYZ")),CODE(MID($L12,34,1))-55,"#")))</f>
        <v/>
      </c>
      <c r="AV12" s="18" t="str">
        <f aca="false">_xlfn.CONCAT(N12:AU12)</f>
        <v>78000000001181159355281047</v>
      </c>
      <c r="AW12" s="18" t="n">
        <f aca="false">IF(OR(AV12="",M12=FALSE()),"",MOD(VALUE(MID(AV12,1,9)),97))</f>
        <v>11</v>
      </c>
      <c r="AX12" s="18" t="n">
        <f aca="false">IF(AW12="","",MOD(VALUE(AW12&amp;MID(AV12,10,7)),97))</f>
        <v>29</v>
      </c>
      <c r="AY12" s="18" t="n">
        <f aca="false">IF(AX12="","",MOD(VALUE(AX12&amp;MID(AV12,17,7)),97))</f>
        <v>89</v>
      </c>
      <c r="AZ12" s="18" t="n">
        <f aca="false">IF(AY12="","",MOD(VALUE(AY12&amp;MID(AV12,24,7)),97))</f>
        <v>1</v>
      </c>
      <c r="BA12" s="18" t="n">
        <f aca="false">IF(AZ12="","",MOD(VALUE(AZ12&amp;MID(AV12,31,7)),97))</f>
        <v>1</v>
      </c>
      <c r="BB12" s="18" t="n">
        <f aca="false">IF(BA12="","",MOD(VALUE(BA12&amp;MID(AV12,38,7)),97))</f>
        <v>1</v>
      </c>
      <c r="BC12" s="18" t="n">
        <f aca="false">IF(BB12="","",MOD(VALUE(BB12&amp;MID(AV12,45,7)),97))</f>
        <v>1</v>
      </c>
      <c r="BD12" s="18" t="n">
        <f aca="false">IF(BC12="","",MOD(VALUE(BC12&amp;MID(AV12,52,7)),97))</f>
        <v>1</v>
      </c>
      <c r="BE12" s="18" t="n">
        <f aca="false">IF(BD12="","",MOD(VALUE(BD12&amp;MID(AV12,59,7)),97))</f>
        <v>1</v>
      </c>
      <c r="BF12" s="18" t="n">
        <f aca="false">IF(BE12="","",MOD(VALUE(BE12&amp;MID(AV12,66,7)),97))</f>
        <v>1</v>
      </c>
    </row>
    <row r="13" customFormat="false" ht="15" hidden="false" customHeight="false" outlineLevel="0" collapsed="false">
      <c r="A13" s="11" t="s">
        <v>232</v>
      </c>
      <c r="B13" s="5" t="str">
        <f aca="false">UPPER(SUBSTITUTE(SUBSTITUTE(SUBSTITUTE(TRIM(A13)," ",""),"-",""),CHAR(160),""))</f>
        <v>SA4373000000608010167519</v>
      </c>
      <c r="C13" s="5" t="n">
        <f aca="false">IF(B13="","",LEN(B13))</f>
        <v>24</v>
      </c>
      <c r="D13" s="5" t="str">
        <f aca="false">IF(B13="","",LEFT(B13,2))</f>
        <v>SA</v>
      </c>
      <c r="E13" s="5" t="str">
        <f aca="false">IF(B13="","",MID(B13,3,2))</f>
        <v>43</v>
      </c>
      <c r="F13" s="5" t="str">
        <f aca="false">IF(B13="","",MID(B13,5,2))</f>
        <v>73</v>
      </c>
      <c r="G13" s="5" t="str">
        <f aca="false">IF(B13="","",IFERROR(INDEX('رموز البنوك'!$C$5:$C$30,MATCH(F13,'رموز البنوك'!$B$5:$B$30,0)),"رمز غير معروف"))</f>
        <v>بنك أبوظبي الأول (فرع السعودية)</v>
      </c>
      <c r="H13" s="5" t="n">
        <f aca="false">BF13</f>
        <v>1</v>
      </c>
      <c r="I13" s="5" t="str">
        <f aca="false">IF(OR(H13="",NOT(AND(ISNUMBER(FIND(MID(B13,3,1),"0123456789")),ISNUMBER(FIND(MID(B13,4,1),"0123456789"))))),"",TEXT(98-MOD(H13-VALUE(E13),97),"00"))</f>
        <v>43</v>
      </c>
      <c r="J13" s="4" t="str">
        <f aca="false">IF(B13="","",IF(LEFT(K13,10)="آيبان صحيح","صحيح ✓","غير صحيح ✗"))</f>
        <v>صحيح ✓</v>
      </c>
      <c r="K13" s="10" t="str">
        <f aca="false">IF(B13="","",IF(M13=FALSE(),"يحتوي رموزاً غير مسموحة (المسموح A–Z و 0–9 فقط)",IF(D13&lt;&gt;"SA","رمز الدولة "&amp;D13&amp;" — هذا المدقق للآيبان السعودي SA",IF(C13&lt;&gt;24,"الطول "&amp;C13&amp;" خانة والمطلوب 24",IF(NOT(AND(ISNUMBER(FIND(MID(B13,3,1),"0123456789")),ISNUMBER(FIND(MID(B13,4,1),"0123456789")))),"خانتا التدقيق يجب أن تكونا رقمين",IF(ISERROR(VALUE(MID(B13,5,20))),"رمز البنك ورقم الحساب يجب أن يكونا أرقاماً",IF(H13&lt;&gt;1,"فشل اختبار MOD-97 (الباقي "&amp;H13&amp;" وليس 1) — خطأ في كتابة الرقم؛ خانتا التدقيق الصحيحتان لهذا الحساب "&amp;I13,IF(G13="رمز غير معروف","اجتاز MOD-97 لكن رمز البنك "&amp;F13&amp;" غير مسجل في جدول البنوك","آيبان صحيح — "&amp;G13))))))))</f>
        <v>آيبان صحيح — بنك أبوظبي الأول (فرع السعودية)</v>
      </c>
      <c r="L13" s="18" t="str">
        <f aca="false">IF(B13="","",MID(B13,5,40)&amp;LEFT(B13,4))</f>
        <v>73000000608010167519SA43</v>
      </c>
      <c r="M13" s="19" t="b">
        <f aca="false">IF(L13="","",NOT(ISNUMBER(FIND("#",AV13))))</f>
        <v>1</v>
      </c>
      <c r="N13" s="18" t="str">
        <f aca="false">IF(LEN($L13)&lt;1,"",IF(ISNUMBER(FIND(MID($L13,1,1),"0123456789")),MID($L13,1,1),IF(ISNUMBER(FIND(MID($L13,1,1),"ABCDEFGHIJKLMNOPQRSTUVWXYZ")),CODE(MID($L13,1,1))-55,"#")))</f>
        <v>7</v>
      </c>
      <c r="O13" s="18" t="str">
        <f aca="false">IF(LEN($L13)&lt;2,"",IF(ISNUMBER(FIND(MID($L13,2,1),"0123456789")),MID($L13,2,1),IF(ISNUMBER(FIND(MID($L13,2,1),"ABCDEFGHIJKLMNOPQRSTUVWXYZ")),CODE(MID($L13,2,1))-55,"#")))</f>
        <v>3</v>
      </c>
      <c r="P13" s="18" t="str">
        <f aca="false">IF(LEN($L13)&lt;3,"",IF(ISNUMBER(FIND(MID($L13,3,1),"0123456789")),MID($L13,3,1),IF(ISNUMBER(FIND(MID($L13,3,1),"ABCDEFGHIJKLMNOPQRSTUVWXYZ")),CODE(MID($L13,3,1))-55,"#")))</f>
        <v>0</v>
      </c>
      <c r="Q13" s="18" t="str">
        <f aca="false">IF(LEN($L13)&lt;4,"",IF(ISNUMBER(FIND(MID($L13,4,1),"0123456789")),MID($L13,4,1),IF(ISNUMBER(FIND(MID($L13,4,1),"ABCDEFGHIJKLMNOPQRSTUVWXYZ")),CODE(MID($L13,4,1))-55,"#")))</f>
        <v>0</v>
      </c>
      <c r="R13" s="18" t="str">
        <f aca="false">IF(LEN($L13)&lt;5,"",IF(ISNUMBER(FIND(MID($L13,5,1),"0123456789")),MID($L13,5,1),IF(ISNUMBER(FIND(MID($L13,5,1),"ABCDEFGHIJKLMNOPQRSTUVWXYZ")),CODE(MID($L13,5,1))-55,"#")))</f>
        <v>0</v>
      </c>
      <c r="S13" s="18" t="str">
        <f aca="false">IF(LEN($L13)&lt;6,"",IF(ISNUMBER(FIND(MID($L13,6,1),"0123456789")),MID($L13,6,1),IF(ISNUMBER(FIND(MID($L13,6,1),"ABCDEFGHIJKLMNOPQRSTUVWXYZ")),CODE(MID($L13,6,1))-55,"#")))</f>
        <v>0</v>
      </c>
      <c r="T13" s="18" t="str">
        <f aca="false">IF(LEN($L13)&lt;7,"",IF(ISNUMBER(FIND(MID($L13,7,1),"0123456789")),MID($L13,7,1),IF(ISNUMBER(FIND(MID($L13,7,1),"ABCDEFGHIJKLMNOPQRSTUVWXYZ")),CODE(MID($L13,7,1))-55,"#")))</f>
        <v>0</v>
      </c>
      <c r="U13" s="18" t="str">
        <f aca="false">IF(LEN($L13)&lt;8,"",IF(ISNUMBER(FIND(MID($L13,8,1),"0123456789")),MID($L13,8,1),IF(ISNUMBER(FIND(MID($L13,8,1),"ABCDEFGHIJKLMNOPQRSTUVWXYZ")),CODE(MID($L13,8,1))-55,"#")))</f>
        <v>0</v>
      </c>
      <c r="V13" s="18" t="str">
        <f aca="false">IF(LEN($L13)&lt;9,"",IF(ISNUMBER(FIND(MID($L13,9,1),"0123456789")),MID($L13,9,1),IF(ISNUMBER(FIND(MID($L13,9,1),"ABCDEFGHIJKLMNOPQRSTUVWXYZ")),CODE(MID($L13,9,1))-55,"#")))</f>
        <v>6</v>
      </c>
      <c r="W13" s="18" t="str">
        <f aca="false">IF(LEN($L13)&lt;10,"",IF(ISNUMBER(FIND(MID($L13,10,1),"0123456789")),MID($L13,10,1),IF(ISNUMBER(FIND(MID($L13,10,1),"ABCDEFGHIJKLMNOPQRSTUVWXYZ")),CODE(MID($L13,10,1))-55,"#")))</f>
        <v>0</v>
      </c>
      <c r="X13" s="18" t="str">
        <f aca="false">IF(LEN($L13)&lt;11,"",IF(ISNUMBER(FIND(MID($L13,11,1),"0123456789")),MID($L13,11,1),IF(ISNUMBER(FIND(MID($L13,11,1),"ABCDEFGHIJKLMNOPQRSTUVWXYZ")),CODE(MID($L13,11,1))-55,"#")))</f>
        <v>8</v>
      </c>
      <c r="Y13" s="18" t="str">
        <f aca="false">IF(LEN($L13)&lt;12,"",IF(ISNUMBER(FIND(MID($L13,12,1),"0123456789")),MID($L13,12,1),IF(ISNUMBER(FIND(MID($L13,12,1),"ABCDEFGHIJKLMNOPQRSTUVWXYZ")),CODE(MID($L13,12,1))-55,"#")))</f>
        <v>0</v>
      </c>
      <c r="Z13" s="18" t="str">
        <f aca="false">IF(LEN($L13)&lt;13,"",IF(ISNUMBER(FIND(MID($L13,13,1),"0123456789")),MID($L13,13,1),IF(ISNUMBER(FIND(MID($L13,13,1),"ABCDEFGHIJKLMNOPQRSTUVWXYZ")),CODE(MID($L13,13,1))-55,"#")))</f>
        <v>1</v>
      </c>
      <c r="AA13" s="18" t="str">
        <f aca="false">IF(LEN($L13)&lt;14,"",IF(ISNUMBER(FIND(MID($L13,14,1),"0123456789")),MID($L13,14,1),IF(ISNUMBER(FIND(MID($L13,14,1),"ABCDEFGHIJKLMNOPQRSTUVWXYZ")),CODE(MID($L13,14,1))-55,"#")))</f>
        <v>0</v>
      </c>
      <c r="AB13" s="18" t="str">
        <f aca="false">IF(LEN($L13)&lt;15,"",IF(ISNUMBER(FIND(MID($L13,15,1),"0123456789")),MID($L13,15,1),IF(ISNUMBER(FIND(MID($L13,15,1),"ABCDEFGHIJKLMNOPQRSTUVWXYZ")),CODE(MID($L13,15,1))-55,"#")))</f>
        <v>1</v>
      </c>
      <c r="AC13" s="18" t="str">
        <f aca="false">IF(LEN($L13)&lt;16,"",IF(ISNUMBER(FIND(MID($L13,16,1),"0123456789")),MID($L13,16,1),IF(ISNUMBER(FIND(MID($L13,16,1),"ABCDEFGHIJKLMNOPQRSTUVWXYZ")),CODE(MID($L13,16,1))-55,"#")))</f>
        <v>6</v>
      </c>
      <c r="AD13" s="18" t="str">
        <f aca="false">IF(LEN($L13)&lt;17,"",IF(ISNUMBER(FIND(MID($L13,17,1),"0123456789")),MID($L13,17,1),IF(ISNUMBER(FIND(MID($L13,17,1),"ABCDEFGHIJKLMNOPQRSTUVWXYZ")),CODE(MID($L13,17,1))-55,"#")))</f>
        <v>7</v>
      </c>
      <c r="AE13" s="18" t="str">
        <f aca="false">IF(LEN($L13)&lt;18,"",IF(ISNUMBER(FIND(MID($L13,18,1),"0123456789")),MID($L13,18,1),IF(ISNUMBER(FIND(MID($L13,18,1),"ABCDEFGHIJKLMNOPQRSTUVWXYZ")),CODE(MID($L13,18,1))-55,"#")))</f>
        <v>5</v>
      </c>
      <c r="AF13" s="18" t="str">
        <f aca="false">IF(LEN($L13)&lt;19,"",IF(ISNUMBER(FIND(MID($L13,19,1),"0123456789")),MID($L13,19,1),IF(ISNUMBER(FIND(MID($L13,19,1),"ABCDEFGHIJKLMNOPQRSTUVWXYZ")),CODE(MID($L13,19,1))-55,"#")))</f>
        <v>1</v>
      </c>
      <c r="AG13" s="18" t="str">
        <f aca="false">IF(LEN($L13)&lt;20,"",IF(ISNUMBER(FIND(MID($L13,20,1),"0123456789")),MID($L13,20,1),IF(ISNUMBER(FIND(MID($L13,20,1),"ABCDEFGHIJKLMNOPQRSTUVWXYZ")),CODE(MID($L13,20,1))-55,"#")))</f>
        <v>9</v>
      </c>
      <c r="AH13" s="18" t="n">
        <f aca="false">IF(LEN($L13)&lt;21,"",IF(ISNUMBER(FIND(MID($L13,21,1),"0123456789")),MID($L13,21,1),IF(ISNUMBER(FIND(MID($L13,21,1),"ABCDEFGHIJKLMNOPQRSTUVWXYZ")),CODE(MID($L13,21,1))-55,"#")))</f>
        <v>28</v>
      </c>
      <c r="AI13" s="18" t="n">
        <f aca="false">IF(LEN($L13)&lt;22,"",IF(ISNUMBER(FIND(MID($L13,22,1),"0123456789")),MID($L13,22,1),IF(ISNUMBER(FIND(MID($L13,22,1),"ABCDEFGHIJKLMNOPQRSTUVWXYZ")),CODE(MID($L13,22,1))-55,"#")))</f>
        <v>10</v>
      </c>
      <c r="AJ13" s="18" t="str">
        <f aca="false">IF(LEN($L13)&lt;23,"",IF(ISNUMBER(FIND(MID($L13,23,1),"0123456789")),MID($L13,23,1),IF(ISNUMBER(FIND(MID($L13,23,1),"ABCDEFGHIJKLMNOPQRSTUVWXYZ")),CODE(MID($L13,23,1))-55,"#")))</f>
        <v>4</v>
      </c>
      <c r="AK13" s="18" t="str">
        <f aca="false">IF(LEN($L13)&lt;24,"",IF(ISNUMBER(FIND(MID($L13,24,1),"0123456789")),MID($L13,24,1),IF(ISNUMBER(FIND(MID($L13,24,1),"ABCDEFGHIJKLMNOPQRSTUVWXYZ")),CODE(MID($L13,24,1))-55,"#")))</f>
        <v>3</v>
      </c>
      <c r="AL13" s="18" t="str">
        <f aca="false">IF(LEN($L13)&lt;25,"",IF(ISNUMBER(FIND(MID($L13,25,1),"0123456789")),MID($L13,25,1),IF(ISNUMBER(FIND(MID($L13,25,1),"ABCDEFGHIJKLMNOPQRSTUVWXYZ")),CODE(MID($L13,25,1))-55,"#")))</f>
        <v/>
      </c>
      <c r="AM13" s="18" t="str">
        <f aca="false">IF(LEN($L13)&lt;26,"",IF(ISNUMBER(FIND(MID($L13,26,1),"0123456789")),MID($L13,26,1),IF(ISNUMBER(FIND(MID($L13,26,1),"ABCDEFGHIJKLMNOPQRSTUVWXYZ")),CODE(MID($L13,26,1))-55,"#")))</f>
        <v/>
      </c>
      <c r="AN13" s="18" t="str">
        <f aca="false">IF(LEN($L13)&lt;27,"",IF(ISNUMBER(FIND(MID($L13,27,1),"0123456789")),MID($L13,27,1),IF(ISNUMBER(FIND(MID($L13,27,1),"ABCDEFGHIJKLMNOPQRSTUVWXYZ")),CODE(MID($L13,27,1))-55,"#")))</f>
        <v/>
      </c>
      <c r="AO13" s="18" t="str">
        <f aca="false">IF(LEN($L13)&lt;28,"",IF(ISNUMBER(FIND(MID($L13,28,1),"0123456789")),MID($L13,28,1),IF(ISNUMBER(FIND(MID($L13,28,1),"ABCDEFGHIJKLMNOPQRSTUVWXYZ")),CODE(MID($L13,28,1))-55,"#")))</f>
        <v/>
      </c>
      <c r="AP13" s="18" t="str">
        <f aca="false">IF(LEN($L13)&lt;29,"",IF(ISNUMBER(FIND(MID($L13,29,1),"0123456789")),MID($L13,29,1),IF(ISNUMBER(FIND(MID($L13,29,1),"ABCDEFGHIJKLMNOPQRSTUVWXYZ")),CODE(MID($L13,29,1))-55,"#")))</f>
        <v/>
      </c>
      <c r="AQ13" s="18" t="str">
        <f aca="false">IF(LEN($L13)&lt;30,"",IF(ISNUMBER(FIND(MID($L13,30,1),"0123456789")),MID($L13,30,1),IF(ISNUMBER(FIND(MID($L13,30,1),"ABCDEFGHIJKLMNOPQRSTUVWXYZ")),CODE(MID($L13,30,1))-55,"#")))</f>
        <v/>
      </c>
      <c r="AR13" s="18" t="str">
        <f aca="false">IF(LEN($L13)&lt;31,"",IF(ISNUMBER(FIND(MID($L13,31,1),"0123456789")),MID($L13,31,1),IF(ISNUMBER(FIND(MID($L13,31,1),"ABCDEFGHIJKLMNOPQRSTUVWXYZ")),CODE(MID($L13,31,1))-55,"#")))</f>
        <v/>
      </c>
      <c r="AS13" s="18" t="str">
        <f aca="false">IF(LEN($L13)&lt;32,"",IF(ISNUMBER(FIND(MID($L13,32,1),"0123456789")),MID($L13,32,1),IF(ISNUMBER(FIND(MID($L13,32,1),"ABCDEFGHIJKLMNOPQRSTUVWXYZ")),CODE(MID($L13,32,1))-55,"#")))</f>
        <v/>
      </c>
      <c r="AT13" s="18" t="str">
        <f aca="false">IF(LEN($L13)&lt;33,"",IF(ISNUMBER(FIND(MID($L13,33,1),"0123456789")),MID($L13,33,1),IF(ISNUMBER(FIND(MID($L13,33,1),"ABCDEFGHIJKLMNOPQRSTUVWXYZ")),CODE(MID($L13,33,1))-55,"#")))</f>
        <v/>
      </c>
      <c r="AU13" s="18" t="str">
        <f aca="false">IF(LEN($L13)&lt;34,"",IF(ISNUMBER(FIND(MID($L13,34,1),"0123456789")),MID($L13,34,1),IF(ISNUMBER(FIND(MID($L13,34,1),"ABCDEFGHIJKLMNOPQRSTUVWXYZ")),CODE(MID($L13,34,1))-55,"#")))</f>
        <v/>
      </c>
      <c r="AV13" s="18" t="str">
        <f aca="false">_xlfn.CONCAT(N13:AU13)</f>
        <v>73000000608010167519281043</v>
      </c>
      <c r="AW13" s="18" t="n">
        <f aca="false">IF(OR(AV13="",M13=FALSE()),"",MOD(VALUE(MID(AV13,1,9)),97))</f>
        <v>25</v>
      </c>
      <c r="AX13" s="18" t="n">
        <f aca="false">IF(AW13="","",MOD(VALUE(AW13&amp;MID(AV13,10,7)),97))</f>
        <v>47</v>
      </c>
      <c r="AY13" s="18" t="n">
        <f aca="false">IF(AX13="","",MOD(VALUE(AX13&amp;MID(AV13,17,7)),97))</f>
        <v>18</v>
      </c>
      <c r="AZ13" s="18" t="n">
        <f aca="false">IF(AY13="","",MOD(VALUE(AY13&amp;MID(AV13,24,7)),97))</f>
        <v>1</v>
      </c>
      <c r="BA13" s="18" t="n">
        <f aca="false">IF(AZ13="","",MOD(VALUE(AZ13&amp;MID(AV13,31,7)),97))</f>
        <v>1</v>
      </c>
      <c r="BB13" s="18" t="n">
        <f aca="false">IF(BA13="","",MOD(VALUE(BA13&amp;MID(AV13,38,7)),97))</f>
        <v>1</v>
      </c>
      <c r="BC13" s="18" t="n">
        <f aca="false">IF(BB13="","",MOD(VALUE(BB13&amp;MID(AV13,45,7)),97))</f>
        <v>1</v>
      </c>
      <c r="BD13" s="18" t="n">
        <f aca="false">IF(BC13="","",MOD(VALUE(BC13&amp;MID(AV13,52,7)),97))</f>
        <v>1</v>
      </c>
      <c r="BE13" s="18" t="n">
        <f aca="false">IF(BD13="","",MOD(VALUE(BD13&amp;MID(AV13,59,7)),97))</f>
        <v>1</v>
      </c>
      <c r="BF13" s="18" t="n">
        <f aca="false">IF(BE13="","",MOD(VALUE(BE13&amp;MID(AV13,66,7)),97))</f>
        <v>1</v>
      </c>
    </row>
    <row r="14" customFormat="false" ht="15" hidden="false" customHeight="false" outlineLevel="0" collapsed="false">
      <c r="A14" s="11" t="s">
        <v>233</v>
      </c>
      <c r="B14" s="5" t="str">
        <f aca="false">UPPER(SUBSTITUTE(SUBSTITUTE(SUBSTITUTE(TRIM(A14)," ",""),"-",""),CHAR(160),""))</f>
        <v>SA0536000000608010167519</v>
      </c>
      <c r="C14" s="5" t="n">
        <f aca="false">IF(B14="","",LEN(B14))</f>
        <v>24</v>
      </c>
      <c r="D14" s="5" t="str">
        <f aca="false">IF(B14="","",LEFT(B14,2))</f>
        <v>SA</v>
      </c>
      <c r="E14" s="5" t="str">
        <f aca="false">IF(B14="","",MID(B14,3,2))</f>
        <v>05</v>
      </c>
      <c r="F14" s="5" t="str">
        <f aca="false">IF(B14="","",MID(B14,5,2))</f>
        <v>36</v>
      </c>
      <c r="G14" s="5" t="str">
        <f aca="false">IF(B14="","",IFERROR(INDEX('رموز البنوك'!$C$5:$C$30,MATCH(F14,'رموز البنوك'!$B$5:$B$30,0)),"رمز غير معروف"))</f>
        <v>بنك دال ثلاثمائة وستون (D360)</v>
      </c>
      <c r="H14" s="5" t="n">
        <f aca="false">BF14</f>
        <v>1</v>
      </c>
      <c r="I14" s="5" t="str">
        <f aca="false">IF(OR(H14="",NOT(AND(ISNUMBER(FIND(MID(B14,3,1),"0123456789")),ISNUMBER(FIND(MID(B14,4,1),"0123456789"))))),"",TEXT(98-MOD(H14-VALUE(E14),97),"00"))</f>
        <v>05</v>
      </c>
      <c r="J14" s="4" t="str">
        <f aca="false">IF(B14="","",IF(LEFT(K14,10)="آيبان صحيح","صحيح ✓","غير صحيح ✗"))</f>
        <v>صحيح ✓</v>
      </c>
      <c r="K14" s="10" t="str">
        <f aca="false">IF(B14="","",IF(M14=FALSE(),"يحتوي رموزاً غير مسموحة (المسموح A–Z و 0–9 فقط)",IF(D14&lt;&gt;"SA","رمز الدولة "&amp;D14&amp;" — هذا المدقق للآيبان السعودي SA",IF(C14&lt;&gt;24,"الطول "&amp;C14&amp;" خانة والمطلوب 24",IF(NOT(AND(ISNUMBER(FIND(MID(B14,3,1),"0123456789")),ISNUMBER(FIND(MID(B14,4,1),"0123456789")))),"خانتا التدقيق يجب أن تكونا رقمين",IF(ISERROR(VALUE(MID(B14,5,20))),"رمز البنك ورقم الحساب يجب أن يكونا أرقاماً",IF(H14&lt;&gt;1,"فشل اختبار MOD-97 (الباقي "&amp;H14&amp;" وليس 1) — خطأ في كتابة الرقم؛ خانتا التدقيق الصحيحتان لهذا الحساب "&amp;I14,IF(G14="رمز غير معروف","اجتاز MOD-97 لكن رمز البنك "&amp;F14&amp;" غير مسجل في جدول البنوك","آيبان صحيح — "&amp;G14))))))))</f>
        <v>آيبان صحيح — بنك دال ثلاثمائة وستون (D360)</v>
      </c>
      <c r="L14" s="18" t="str">
        <f aca="false">IF(B14="","",MID(B14,5,40)&amp;LEFT(B14,4))</f>
        <v>36000000608010167519SA05</v>
      </c>
      <c r="M14" s="19" t="b">
        <f aca="false">IF(L14="","",NOT(ISNUMBER(FIND("#",AV14))))</f>
        <v>1</v>
      </c>
      <c r="N14" s="18" t="str">
        <f aca="false">IF(LEN($L14)&lt;1,"",IF(ISNUMBER(FIND(MID($L14,1,1),"0123456789")),MID($L14,1,1),IF(ISNUMBER(FIND(MID($L14,1,1),"ABCDEFGHIJKLMNOPQRSTUVWXYZ")),CODE(MID($L14,1,1))-55,"#")))</f>
        <v>3</v>
      </c>
      <c r="O14" s="18" t="str">
        <f aca="false">IF(LEN($L14)&lt;2,"",IF(ISNUMBER(FIND(MID($L14,2,1),"0123456789")),MID($L14,2,1),IF(ISNUMBER(FIND(MID($L14,2,1),"ABCDEFGHIJKLMNOPQRSTUVWXYZ")),CODE(MID($L14,2,1))-55,"#")))</f>
        <v>6</v>
      </c>
      <c r="P14" s="18" t="str">
        <f aca="false">IF(LEN($L14)&lt;3,"",IF(ISNUMBER(FIND(MID($L14,3,1),"0123456789")),MID($L14,3,1),IF(ISNUMBER(FIND(MID($L14,3,1),"ABCDEFGHIJKLMNOPQRSTUVWXYZ")),CODE(MID($L14,3,1))-55,"#")))</f>
        <v>0</v>
      </c>
      <c r="Q14" s="18" t="str">
        <f aca="false">IF(LEN($L14)&lt;4,"",IF(ISNUMBER(FIND(MID($L14,4,1),"0123456789")),MID($L14,4,1),IF(ISNUMBER(FIND(MID($L14,4,1),"ABCDEFGHIJKLMNOPQRSTUVWXYZ")),CODE(MID($L14,4,1))-55,"#")))</f>
        <v>0</v>
      </c>
      <c r="R14" s="18" t="str">
        <f aca="false">IF(LEN($L14)&lt;5,"",IF(ISNUMBER(FIND(MID($L14,5,1),"0123456789")),MID($L14,5,1),IF(ISNUMBER(FIND(MID($L14,5,1),"ABCDEFGHIJKLMNOPQRSTUVWXYZ")),CODE(MID($L14,5,1))-55,"#")))</f>
        <v>0</v>
      </c>
      <c r="S14" s="18" t="str">
        <f aca="false">IF(LEN($L14)&lt;6,"",IF(ISNUMBER(FIND(MID($L14,6,1),"0123456789")),MID($L14,6,1),IF(ISNUMBER(FIND(MID($L14,6,1),"ABCDEFGHIJKLMNOPQRSTUVWXYZ")),CODE(MID($L14,6,1))-55,"#")))</f>
        <v>0</v>
      </c>
      <c r="T14" s="18" t="str">
        <f aca="false">IF(LEN($L14)&lt;7,"",IF(ISNUMBER(FIND(MID($L14,7,1),"0123456789")),MID($L14,7,1),IF(ISNUMBER(FIND(MID($L14,7,1),"ABCDEFGHIJKLMNOPQRSTUVWXYZ")),CODE(MID($L14,7,1))-55,"#")))</f>
        <v>0</v>
      </c>
      <c r="U14" s="18" t="str">
        <f aca="false">IF(LEN($L14)&lt;8,"",IF(ISNUMBER(FIND(MID($L14,8,1),"0123456789")),MID($L14,8,1),IF(ISNUMBER(FIND(MID($L14,8,1),"ABCDEFGHIJKLMNOPQRSTUVWXYZ")),CODE(MID($L14,8,1))-55,"#")))</f>
        <v>0</v>
      </c>
      <c r="V14" s="18" t="str">
        <f aca="false">IF(LEN($L14)&lt;9,"",IF(ISNUMBER(FIND(MID($L14,9,1),"0123456789")),MID($L14,9,1),IF(ISNUMBER(FIND(MID($L14,9,1),"ABCDEFGHIJKLMNOPQRSTUVWXYZ")),CODE(MID($L14,9,1))-55,"#")))</f>
        <v>6</v>
      </c>
      <c r="W14" s="18" t="str">
        <f aca="false">IF(LEN($L14)&lt;10,"",IF(ISNUMBER(FIND(MID($L14,10,1),"0123456789")),MID($L14,10,1),IF(ISNUMBER(FIND(MID($L14,10,1),"ABCDEFGHIJKLMNOPQRSTUVWXYZ")),CODE(MID($L14,10,1))-55,"#")))</f>
        <v>0</v>
      </c>
      <c r="X14" s="18" t="str">
        <f aca="false">IF(LEN($L14)&lt;11,"",IF(ISNUMBER(FIND(MID($L14,11,1),"0123456789")),MID($L14,11,1),IF(ISNUMBER(FIND(MID($L14,11,1),"ABCDEFGHIJKLMNOPQRSTUVWXYZ")),CODE(MID($L14,11,1))-55,"#")))</f>
        <v>8</v>
      </c>
      <c r="Y14" s="18" t="str">
        <f aca="false">IF(LEN($L14)&lt;12,"",IF(ISNUMBER(FIND(MID($L14,12,1),"0123456789")),MID($L14,12,1),IF(ISNUMBER(FIND(MID($L14,12,1),"ABCDEFGHIJKLMNOPQRSTUVWXYZ")),CODE(MID($L14,12,1))-55,"#")))</f>
        <v>0</v>
      </c>
      <c r="Z14" s="18" t="str">
        <f aca="false">IF(LEN($L14)&lt;13,"",IF(ISNUMBER(FIND(MID($L14,13,1),"0123456789")),MID($L14,13,1),IF(ISNUMBER(FIND(MID($L14,13,1),"ABCDEFGHIJKLMNOPQRSTUVWXYZ")),CODE(MID($L14,13,1))-55,"#")))</f>
        <v>1</v>
      </c>
      <c r="AA14" s="18" t="str">
        <f aca="false">IF(LEN($L14)&lt;14,"",IF(ISNUMBER(FIND(MID($L14,14,1),"0123456789")),MID($L14,14,1),IF(ISNUMBER(FIND(MID($L14,14,1),"ABCDEFGHIJKLMNOPQRSTUVWXYZ")),CODE(MID($L14,14,1))-55,"#")))</f>
        <v>0</v>
      </c>
      <c r="AB14" s="18" t="str">
        <f aca="false">IF(LEN($L14)&lt;15,"",IF(ISNUMBER(FIND(MID($L14,15,1),"0123456789")),MID($L14,15,1),IF(ISNUMBER(FIND(MID($L14,15,1),"ABCDEFGHIJKLMNOPQRSTUVWXYZ")),CODE(MID($L14,15,1))-55,"#")))</f>
        <v>1</v>
      </c>
      <c r="AC14" s="18" t="str">
        <f aca="false">IF(LEN($L14)&lt;16,"",IF(ISNUMBER(FIND(MID($L14,16,1),"0123456789")),MID($L14,16,1),IF(ISNUMBER(FIND(MID($L14,16,1),"ABCDEFGHIJKLMNOPQRSTUVWXYZ")),CODE(MID($L14,16,1))-55,"#")))</f>
        <v>6</v>
      </c>
      <c r="AD14" s="18" t="str">
        <f aca="false">IF(LEN($L14)&lt;17,"",IF(ISNUMBER(FIND(MID($L14,17,1),"0123456789")),MID($L14,17,1),IF(ISNUMBER(FIND(MID($L14,17,1),"ABCDEFGHIJKLMNOPQRSTUVWXYZ")),CODE(MID($L14,17,1))-55,"#")))</f>
        <v>7</v>
      </c>
      <c r="AE14" s="18" t="str">
        <f aca="false">IF(LEN($L14)&lt;18,"",IF(ISNUMBER(FIND(MID($L14,18,1),"0123456789")),MID($L14,18,1),IF(ISNUMBER(FIND(MID($L14,18,1),"ABCDEFGHIJKLMNOPQRSTUVWXYZ")),CODE(MID($L14,18,1))-55,"#")))</f>
        <v>5</v>
      </c>
      <c r="AF14" s="18" t="str">
        <f aca="false">IF(LEN($L14)&lt;19,"",IF(ISNUMBER(FIND(MID($L14,19,1),"0123456789")),MID($L14,19,1),IF(ISNUMBER(FIND(MID($L14,19,1),"ABCDEFGHIJKLMNOPQRSTUVWXYZ")),CODE(MID($L14,19,1))-55,"#")))</f>
        <v>1</v>
      </c>
      <c r="AG14" s="18" t="str">
        <f aca="false">IF(LEN($L14)&lt;20,"",IF(ISNUMBER(FIND(MID($L14,20,1),"0123456789")),MID($L14,20,1),IF(ISNUMBER(FIND(MID($L14,20,1),"ABCDEFGHIJKLMNOPQRSTUVWXYZ")),CODE(MID($L14,20,1))-55,"#")))</f>
        <v>9</v>
      </c>
      <c r="AH14" s="18" t="n">
        <f aca="false">IF(LEN($L14)&lt;21,"",IF(ISNUMBER(FIND(MID($L14,21,1),"0123456789")),MID($L14,21,1),IF(ISNUMBER(FIND(MID($L14,21,1),"ABCDEFGHIJKLMNOPQRSTUVWXYZ")),CODE(MID($L14,21,1))-55,"#")))</f>
        <v>28</v>
      </c>
      <c r="AI14" s="18" t="n">
        <f aca="false">IF(LEN($L14)&lt;22,"",IF(ISNUMBER(FIND(MID($L14,22,1),"0123456789")),MID($L14,22,1),IF(ISNUMBER(FIND(MID($L14,22,1),"ABCDEFGHIJKLMNOPQRSTUVWXYZ")),CODE(MID($L14,22,1))-55,"#")))</f>
        <v>10</v>
      </c>
      <c r="AJ14" s="18" t="str">
        <f aca="false">IF(LEN($L14)&lt;23,"",IF(ISNUMBER(FIND(MID($L14,23,1),"0123456789")),MID($L14,23,1),IF(ISNUMBER(FIND(MID($L14,23,1),"ABCDEFGHIJKLMNOPQRSTUVWXYZ")),CODE(MID($L14,23,1))-55,"#")))</f>
        <v>0</v>
      </c>
      <c r="AK14" s="18" t="str">
        <f aca="false">IF(LEN($L14)&lt;24,"",IF(ISNUMBER(FIND(MID($L14,24,1),"0123456789")),MID($L14,24,1),IF(ISNUMBER(FIND(MID($L14,24,1),"ABCDEFGHIJKLMNOPQRSTUVWXYZ")),CODE(MID($L14,24,1))-55,"#")))</f>
        <v>5</v>
      </c>
      <c r="AL14" s="18" t="str">
        <f aca="false">IF(LEN($L14)&lt;25,"",IF(ISNUMBER(FIND(MID($L14,25,1),"0123456789")),MID($L14,25,1),IF(ISNUMBER(FIND(MID($L14,25,1),"ABCDEFGHIJKLMNOPQRSTUVWXYZ")),CODE(MID($L14,25,1))-55,"#")))</f>
        <v/>
      </c>
      <c r="AM14" s="18" t="str">
        <f aca="false">IF(LEN($L14)&lt;26,"",IF(ISNUMBER(FIND(MID($L14,26,1),"0123456789")),MID($L14,26,1),IF(ISNUMBER(FIND(MID($L14,26,1),"ABCDEFGHIJKLMNOPQRSTUVWXYZ")),CODE(MID($L14,26,1))-55,"#")))</f>
        <v/>
      </c>
      <c r="AN14" s="18" t="str">
        <f aca="false">IF(LEN($L14)&lt;27,"",IF(ISNUMBER(FIND(MID($L14,27,1),"0123456789")),MID($L14,27,1),IF(ISNUMBER(FIND(MID($L14,27,1),"ABCDEFGHIJKLMNOPQRSTUVWXYZ")),CODE(MID($L14,27,1))-55,"#")))</f>
        <v/>
      </c>
      <c r="AO14" s="18" t="str">
        <f aca="false">IF(LEN($L14)&lt;28,"",IF(ISNUMBER(FIND(MID($L14,28,1),"0123456789")),MID($L14,28,1),IF(ISNUMBER(FIND(MID($L14,28,1),"ABCDEFGHIJKLMNOPQRSTUVWXYZ")),CODE(MID($L14,28,1))-55,"#")))</f>
        <v/>
      </c>
      <c r="AP14" s="18" t="str">
        <f aca="false">IF(LEN($L14)&lt;29,"",IF(ISNUMBER(FIND(MID($L14,29,1),"0123456789")),MID($L14,29,1),IF(ISNUMBER(FIND(MID($L14,29,1),"ABCDEFGHIJKLMNOPQRSTUVWXYZ")),CODE(MID($L14,29,1))-55,"#")))</f>
        <v/>
      </c>
      <c r="AQ14" s="18" t="str">
        <f aca="false">IF(LEN($L14)&lt;30,"",IF(ISNUMBER(FIND(MID($L14,30,1),"0123456789")),MID($L14,30,1),IF(ISNUMBER(FIND(MID($L14,30,1),"ABCDEFGHIJKLMNOPQRSTUVWXYZ")),CODE(MID($L14,30,1))-55,"#")))</f>
        <v/>
      </c>
      <c r="AR14" s="18" t="str">
        <f aca="false">IF(LEN($L14)&lt;31,"",IF(ISNUMBER(FIND(MID($L14,31,1),"0123456789")),MID($L14,31,1),IF(ISNUMBER(FIND(MID($L14,31,1),"ABCDEFGHIJKLMNOPQRSTUVWXYZ")),CODE(MID($L14,31,1))-55,"#")))</f>
        <v/>
      </c>
      <c r="AS14" s="18" t="str">
        <f aca="false">IF(LEN($L14)&lt;32,"",IF(ISNUMBER(FIND(MID($L14,32,1),"0123456789")),MID($L14,32,1),IF(ISNUMBER(FIND(MID($L14,32,1),"ABCDEFGHIJKLMNOPQRSTUVWXYZ")),CODE(MID($L14,32,1))-55,"#")))</f>
        <v/>
      </c>
      <c r="AT14" s="18" t="str">
        <f aca="false">IF(LEN($L14)&lt;33,"",IF(ISNUMBER(FIND(MID($L14,33,1),"0123456789")),MID($L14,33,1),IF(ISNUMBER(FIND(MID($L14,33,1),"ABCDEFGHIJKLMNOPQRSTUVWXYZ")),CODE(MID($L14,33,1))-55,"#")))</f>
        <v/>
      </c>
      <c r="AU14" s="18" t="str">
        <f aca="false">IF(LEN($L14)&lt;34,"",IF(ISNUMBER(FIND(MID($L14,34,1),"0123456789")),MID($L14,34,1),IF(ISNUMBER(FIND(MID($L14,34,1),"ABCDEFGHIJKLMNOPQRSTUVWXYZ")),CODE(MID($L14,34,1))-55,"#")))</f>
        <v/>
      </c>
      <c r="AV14" s="18" t="str">
        <f aca="false">_xlfn.CONCAT(N14:AU14)</f>
        <v>36000000608010167519281005</v>
      </c>
      <c r="AW14" s="18" t="n">
        <f aca="false">IF(OR(AV14="",M14=FALSE()),"",MOD(VALUE(MID(AV14,1,9)),97))</f>
        <v>26</v>
      </c>
      <c r="AX14" s="18" t="n">
        <f aca="false">IF(AW14="","",MOD(VALUE(AW14&amp;MID(AV14,10,7)),97))</f>
        <v>26</v>
      </c>
      <c r="AY14" s="18" t="n">
        <f aca="false">IF(AX14="","",MOD(VALUE(AX14&amp;MID(AV14,17,7)),97))</f>
        <v>71</v>
      </c>
      <c r="AZ14" s="18" t="n">
        <f aca="false">IF(AY14="","",MOD(VALUE(AY14&amp;MID(AV14,24,7)),97))</f>
        <v>1</v>
      </c>
      <c r="BA14" s="18" t="n">
        <f aca="false">IF(AZ14="","",MOD(VALUE(AZ14&amp;MID(AV14,31,7)),97))</f>
        <v>1</v>
      </c>
      <c r="BB14" s="18" t="n">
        <f aca="false">IF(BA14="","",MOD(VALUE(BA14&amp;MID(AV14,38,7)),97))</f>
        <v>1</v>
      </c>
      <c r="BC14" s="18" t="n">
        <f aca="false">IF(BB14="","",MOD(VALUE(BB14&amp;MID(AV14,45,7)),97))</f>
        <v>1</v>
      </c>
      <c r="BD14" s="18" t="n">
        <f aca="false">IF(BC14="","",MOD(VALUE(BC14&amp;MID(AV14,52,7)),97))</f>
        <v>1</v>
      </c>
      <c r="BE14" s="18" t="n">
        <f aca="false">IF(BD14="","",MOD(VALUE(BD14&amp;MID(AV14,59,7)),97))</f>
        <v>1</v>
      </c>
      <c r="BF14" s="18" t="n">
        <f aca="false">IF(BE14="","",MOD(VALUE(BE14&amp;MID(AV14,66,7)),97))</f>
        <v>1</v>
      </c>
    </row>
    <row r="15" customFormat="false" ht="15" hidden="false" customHeight="false" outlineLevel="0" collapsed="false">
      <c r="A15" s="11"/>
      <c r="B15" s="5" t="str">
        <f aca="false">UPPER(SUBSTITUTE(SUBSTITUTE(SUBSTITUTE(TRIM(A15)," ",""),"-",""),CHAR(160),""))</f>
        <v/>
      </c>
      <c r="C15" s="5" t="str">
        <f aca="false">IF(B15="","",LEN(B15))</f>
        <v/>
      </c>
      <c r="D15" s="5" t="str">
        <f aca="false">IF(B15="","",LEFT(B15,2))</f>
        <v/>
      </c>
      <c r="E15" s="5" t="str">
        <f aca="false">IF(B15="","",MID(B15,3,2))</f>
        <v/>
      </c>
      <c r="F15" s="5" t="str">
        <f aca="false">IF(B15="","",MID(B15,5,2))</f>
        <v/>
      </c>
      <c r="G15" s="5" t="str">
        <f aca="false">IF(B15="","",IFERROR(INDEX('رموز البنوك'!$C$5:$C$30,MATCH(F15,'رموز البنوك'!$B$5:$B$30,0)),"رمز غير معروف"))</f>
        <v/>
      </c>
      <c r="H15" s="5" t="str">
        <f aca="false">BF15</f>
        <v/>
      </c>
      <c r="I15" s="5" t="str">
        <f aca="false">IF(OR(H15="",NOT(AND(ISNUMBER(FIND(MID(B15,3,1),"0123456789")),ISNUMBER(FIND(MID(B15,4,1),"0123456789"))))),"",TEXT(98-MOD(H15-VALUE(E15),97),"00"))</f>
        <v/>
      </c>
      <c r="J15" s="4" t="str">
        <f aca="false">IF(B15="","",IF(LEFT(K15,10)="آيبان صحيح","صحيح ✓","غير صحيح ✗"))</f>
        <v/>
      </c>
      <c r="K15" s="10" t="str">
        <f aca="false">IF(B15="","",IF(M15=FALSE(),"يحتوي رموزاً غير مسموحة (المسموح A–Z و 0–9 فقط)",IF(D15&lt;&gt;"SA","رمز الدولة "&amp;D15&amp;" — هذا المدقق للآيبان السعودي SA",IF(C15&lt;&gt;24,"الطول "&amp;C15&amp;" خانة والمطلوب 24",IF(NOT(AND(ISNUMBER(FIND(MID(B15,3,1),"0123456789")),ISNUMBER(FIND(MID(B15,4,1),"0123456789")))),"خانتا التدقيق يجب أن تكونا رقمين",IF(ISERROR(VALUE(MID(B15,5,20))),"رمز البنك ورقم الحساب يجب أن يكونا أرقاماً",IF(H15&lt;&gt;1,"فشل اختبار MOD-97 (الباقي "&amp;H15&amp;" وليس 1) — خطأ في كتابة الرقم؛ خانتا التدقيق الصحيحتان لهذا الحساب "&amp;I15,IF(G15="رمز غير معروف","اجتاز MOD-97 لكن رمز البنك "&amp;F15&amp;" غير مسجل في جدول البنوك","آيبان صحيح — "&amp;G15))))))))</f>
        <v/>
      </c>
      <c r="L15" s="18" t="str">
        <f aca="false">IF(B15="","",MID(B15,5,40)&amp;LEFT(B15,4))</f>
        <v/>
      </c>
      <c r="M15" s="18" t="str">
        <f aca="false">IF(L15="","",NOT(ISNUMBER(FIND("#",AV15))))</f>
        <v/>
      </c>
      <c r="N15" s="18" t="str">
        <f aca="false">IF(LEN($L15)&lt;1,"",IF(ISNUMBER(FIND(MID($L15,1,1),"0123456789")),MID($L15,1,1),IF(ISNUMBER(FIND(MID($L15,1,1),"ABCDEFGHIJKLMNOPQRSTUVWXYZ")),CODE(MID($L15,1,1))-55,"#")))</f>
        <v/>
      </c>
      <c r="O15" s="18" t="str">
        <f aca="false">IF(LEN($L15)&lt;2,"",IF(ISNUMBER(FIND(MID($L15,2,1),"0123456789")),MID($L15,2,1),IF(ISNUMBER(FIND(MID($L15,2,1),"ABCDEFGHIJKLMNOPQRSTUVWXYZ")),CODE(MID($L15,2,1))-55,"#")))</f>
        <v/>
      </c>
      <c r="P15" s="18" t="str">
        <f aca="false">IF(LEN($L15)&lt;3,"",IF(ISNUMBER(FIND(MID($L15,3,1),"0123456789")),MID($L15,3,1),IF(ISNUMBER(FIND(MID($L15,3,1),"ABCDEFGHIJKLMNOPQRSTUVWXYZ")),CODE(MID($L15,3,1))-55,"#")))</f>
        <v/>
      </c>
      <c r="Q15" s="18" t="str">
        <f aca="false">IF(LEN($L15)&lt;4,"",IF(ISNUMBER(FIND(MID($L15,4,1),"0123456789")),MID($L15,4,1),IF(ISNUMBER(FIND(MID($L15,4,1),"ABCDEFGHIJKLMNOPQRSTUVWXYZ")),CODE(MID($L15,4,1))-55,"#")))</f>
        <v/>
      </c>
      <c r="R15" s="18" t="str">
        <f aca="false">IF(LEN($L15)&lt;5,"",IF(ISNUMBER(FIND(MID($L15,5,1),"0123456789")),MID($L15,5,1),IF(ISNUMBER(FIND(MID($L15,5,1),"ABCDEFGHIJKLMNOPQRSTUVWXYZ")),CODE(MID($L15,5,1))-55,"#")))</f>
        <v/>
      </c>
      <c r="S15" s="18" t="str">
        <f aca="false">IF(LEN($L15)&lt;6,"",IF(ISNUMBER(FIND(MID($L15,6,1),"0123456789")),MID($L15,6,1),IF(ISNUMBER(FIND(MID($L15,6,1),"ABCDEFGHIJKLMNOPQRSTUVWXYZ")),CODE(MID($L15,6,1))-55,"#")))</f>
        <v/>
      </c>
      <c r="T15" s="18" t="str">
        <f aca="false">IF(LEN($L15)&lt;7,"",IF(ISNUMBER(FIND(MID($L15,7,1),"0123456789")),MID($L15,7,1),IF(ISNUMBER(FIND(MID($L15,7,1),"ABCDEFGHIJKLMNOPQRSTUVWXYZ")),CODE(MID($L15,7,1))-55,"#")))</f>
        <v/>
      </c>
      <c r="U15" s="18" t="str">
        <f aca="false">IF(LEN($L15)&lt;8,"",IF(ISNUMBER(FIND(MID($L15,8,1),"0123456789")),MID($L15,8,1),IF(ISNUMBER(FIND(MID($L15,8,1),"ABCDEFGHIJKLMNOPQRSTUVWXYZ")),CODE(MID($L15,8,1))-55,"#")))</f>
        <v/>
      </c>
      <c r="V15" s="18" t="str">
        <f aca="false">IF(LEN($L15)&lt;9,"",IF(ISNUMBER(FIND(MID($L15,9,1),"0123456789")),MID($L15,9,1),IF(ISNUMBER(FIND(MID($L15,9,1),"ABCDEFGHIJKLMNOPQRSTUVWXYZ")),CODE(MID($L15,9,1))-55,"#")))</f>
        <v/>
      </c>
      <c r="W15" s="18" t="str">
        <f aca="false">IF(LEN($L15)&lt;10,"",IF(ISNUMBER(FIND(MID($L15,10,1),"0123456789")),MID($L15,10,1),IF(ISNUMBER(FIND(MID($L15,10,1),"ABCDEFGHIJKLMNOPQRSTUVWXYZ")),CODE(MID($L15,10,1))-55,"#")))</f>
        <v/>
      </c>
      <c r="X15" s="18" t="str">
        <f aca="false">IF(LEN($L15)&lt;11,"",IF(ISNUMBER(FIND(MID($L15,11,1),"0123456789")),MID($L15,11,1),IF(ISNUMBER(FIND(MID($L15,11,1),"ABCDEFGHIJKLMNOPQRSTUVWXYZ")),CODE(MID($L15,11,1))-55,"#")))</f>
        <v/>
      </c>
      <c r="Y15" s="18" t="str">
        <f aca="false">IF(LEN($L15)&lt;12,"",IF(ISNUMBER(FIND(MID($L15,12,1),"0123456789")),MID($L15,12,1),IF(ISNUMBER(FIND(MID($L15,12,1),"ABCDEFGHIJKLMNOPQRSTUVWXYZ")),CODE(MID($L15,12,1))-55,"#")))</f>
        <v/>
      </c>
      <c r="Z15" s="18" t="str">
        <f aca="false">IF(LEN($L15)&lt;13,"",IF(ISNUMBER(FIND(MID($L15,13,1),"0123456789")),MID($L15,13,1),IF(ISNUMBER(FIND(MID($L15,13,1),"ABCDEFGHIJKLMNOPQRSTUVWXYZ")),CODE(MID($L15,13,1))-55,"#")))</f>
        <v/>
      </c>
      <c r="AA15" s="18" t="str">
        <f aca="false">IF(LEN($L15)&lt;14,"",IF(ISNUMBER(FIND(MID($L15,14,1),"0123456789")),MID($L15,14,1),IF(ISNUMBER(FIND(MID($L15,14,1),"ABCDEFGHIJKLMNOPQRSTUVWXYZ")),CODE(MID($L15,14,1))-55,"#")))</f>
        <v/>
      </c>
      <c r="AB15" s="18" t="str">
        <f aca="false">IF(LEN($L15)&lt;15,"",IF(ISNUMBER(FIND(MID($L15,15,1),"0123456789")),MID($L15,15,1),IF(ISNUMBER(FIND(MID($L15,15,1),"ABCDEFGHIJKLMNOPQRSTUVWXYZ")),CODE(MID($L15,15,1))-55,"#")))</f>
        <v/>
      </c>
      <c r="AC15" s="18" t="str">
        <f aca="false">IF(LEN($L15)&lt;16,"",IF(ISNUMBER(FIND(MID($L15,16,1),"0123456789")),MID($L15,16,1),IF(ISNUMBER(FIND(MID($L15,16,1),"ABCDEFGHIJKLMNOPQRSTUVWXYZ")),CODE(MID($L15,16,1))-55,"#")))</f>
        <v/>
      </c>
      <c r="AD15" s="18" t="str">
        <f aca="false">IF(LEN($L15)&lt;17,"",IF(ISNUMBER(FIND(MID($L15,17,1),"0123456789")),MID($L15,17,1),IF(ISNUMBER(FIND(MID($L15,17,1),"ABCDEFGHIJKLMNOPQRSTUVWXYZ")),CODE(MID($L15,17,1))-55,"#")))</f>
        <v/>
      </c>
      <c r="AE15" s="18" t="str">
        <f aca="false">IF(LEN($L15)&lt;18,"",IF(ISNUMBER(FIND(MID($L15,18,1),"0123456789")),MID($L15,18,1),IF(ISNUMBER(FIND(MID($L15,18,1),"ABCDEFGHIJKLMNOPQRSTUVWXYZ")),CODE(MID($L15,18,1))-55,"#")))</f>
        <v/>
      </c>
      <c r="AF15" s="18" t="str">
        <f aca="false">IF(LEN($L15)&lt;19,"",IF(ISNUMBER(FIND(MID($L15,19,1),"0123456789")),MID($L15,19,1),IF(ISNUMBER(FIND(MID($L15,19,1),"ABCDEFGHIJKLMNOPQRSTUVWXYZ")),CODE(MID($L15,19,1))-55,"#")))</f>
        <v/>
      </c>
      <c r="AG15" s="18" t="str">
        <f aca="false">IF(LEN($L15)&lt;20,"",IF(ISNUMBER(FIND(MID($L15,20,1),"0123456789")),MID($L15,20,1),IF(ISNUMBER(FIND(MID($L15,20,1),"ABCDEFGHIJKLMNOPQRSTUVWXYZ")),CODE(MID($L15,20,1))-55,"#")))</f>
        <v/>
      </c>
      <c r="AH15" s="18" t="str">
        <f aca="false">IF(LEN($L15)&lt;21,"",IF(ISNUMBER(FIND(MID($L15,21,1),"0123456789")),MID($L15,21,1),IF(ISNUMBER(FIND(MID($L15,21,1),"ABCDEFGHIJKLMNOPQRSTUVWXYZ")),CODE(MID($L15,21,1))-55,"#")))</f>
        <v/>
      </c>
      <c r="AI15" s="18" t="str">
        <f aca="false">IF(LEN($L15)&lt;22,"",IF(ISNUMBER(FIND(MID($L15,22,1),"0123456789")),MID($L15,22,1),IF(ISNUMBER(FIND(MID($L15,22,1),"ABCDEFGHIJKLMNOPQRSTUVWXYZ")),CODE(MID($L15,22,1))-55,"#")))</f>
        <v/>
      </c>
      <c r="AJ15" s="18" t="str">
        <f aca="false">IF(LEN($L15)&lt;23,"",IF(ISNUMBER(FIND(MID($L15,23,1),"0123456789")),MID($L15,23,1),IF(ISNUMBER(FIND(MID($L15,23,1),"ABCDEFGHIJKLMNOPQRSTUVWXYZ")),CODE(MID($L15,23,1))-55,"#")))</f>
        <v/>
      </c>
      <c r="AK15" s="18" t="str">
        <f aca="false">IF(LEN($L15)&lt;24,"",IF(ISNUMBER(FIND(MID($L15,24,1),"0123456789")),MID($L15,24,1),IF(ISNUMBER(FIND(MID($L15,24,1),"ABCDEFGHIJKLMNOPQRSTUVWXYZ")),CODE(MID($L15,24,1))-55,"#")))</f>
        <v/>
      </c>
      <c r="AL15" s="18" t="str">
        <f aca="false">IF(LEN($L15)&lt;25,"",IF(ISNUMBER(FIND(MID($L15,25,1),"0123456789")),MID($L15,25,1),IF(ISNUMBER(FIND(MID($L15,25,1),"ABCDEFGHIJKLMNOPQRSTUVWXYZ")),CODE(MID($L15,25,1))-55,"#")))</f>
        <v/>
      </c>
      <c r="AM15" s="18" t="str">
        <f aca="false">IF(LEN($L15)&lt;26,"",IF(ISNUMBER(FIND(MID($L15,26,1),"0123456789")),MID($L15,26,1),IF(ISNUMBER(FIND(MID($L15,26,1),"ABCDEFGHIJKLMNOPQRSTUVWXYZ")),CODE(MID($L15,26,1))-55,"#")))</f>
        <v/>
      </c>
      <c r="AN15" s="18" t="str">
        <f aca="false">IF(LEN($L15)&lt;27,"",IF(ISNUMBER(FIND(MID($L15,27,1),"0123456789")),MID($L15,27,1),IF(ISNUMBER(FIND(MID($L15,27,1),"ABCDEFGHIJKLMNOPQRSTUVWXYZ")),CODE(MID($L15,27,1))-55,"#")))</f>
        <v/>
      </c>
      <c r="AO15" s="18" t="str">
        <f aca="false">IF(LEN($L15)&lt;28,"",IF(ISNUMBER(FIND(MID($L15,28,1),"0123456789")),MID($L15,28,1),IF(ISNUMBER(FIND(MID($L15,28,1),"ABCDEFGHIJKLMNOPQRSTUVWXYZ")),CODE(MID($L15,28,1))-55,"#")))</f>
        <v/>
      </c>
      <c r="AP15" s="18" t="str">
        <f aca="false">IF(LEN($L15)&lt;29,"",IF(ISNUMBER(FIND(MID($L15,29,1),"0123456789")),MID($L15,29,1),IF(ISNUMBER(FIND(MID($L15,29,1),"ABCDEFGHIJKLMNOPQRSTUVWXYZ")),CODE(MID($L15,29,1))-55,"#")))</f>
        <v/>
      </c>
      <c r="AQ15" s="18" t="str">
        <f aca="false">IF(LEN($L15)&lt;30,"",IF(ISNUMBER(FIND(MID($L15,30,1),"0123456789")),MID($L15,30,1),IF(ISNUMBER(FIND(MID($L15,30,1),"ABCDEFGHIJKLMNOPQRSTUVWXYZ")),CODE(MID($L15,30,1))-55,"#")))</f>
        <v/>
      </c>
      <c r="AR15" s="18" t="str">
        <f aca="false">IF(LEN($L15)&lt;31,"",IF(ISNUMBER(FIND(MID($L15,31,1),"0123456789")),MID($L15,31,1),IF(ISNUMBER(FIND(MID($L15,31,1),"ABCDEFGHIJKLMNOPQRSTUVWXYZ")),CODE(MID($L15,31,1))-55,"#")))</f>
        <v/>
      </c>
      <c r="AS15" s="18" t="str">
        <f aca="false">IF(LEN($L15)&lt;32,"",IF(ISNUMBER(FIND(MID($L15,32,1),"0123456789")),MID($L15,32,1),IF(ISNUMBER(FIND(MID($L15,32,1),"ABCDEFGHIJKLMNOPQRSTUVWXYZ")),CODE(MID($L15,32,1))-55,"#")))</f>
        <v/>
      </c>
      <c r="AT15" s="18" t="str">
        <f aca="false">IF(LEN($L15)&lt;33,"",IF(ISNUMBER(FIND(MID($L15,33,1),"0123456789")),MID($L15,33,1),IF(ISNUMBER(FIND(MID($L15,33,1),"ABCDEFGHIJKLMNOPQRSTUVWXYZ")),CODE(MID($L15,33,1))-55,"#")))</f>
        <v/>
      </c>
      <c r="AU15" s="18" t="str">
        <f aca="false">IF(LEN($L15)&lt;34,"",IF(ISNUMBER(FIND(MID($L15,34,1),"0123456789")),MID($L15,34,1),IF(ISNUMBER(FIND(MID($L15,34,1),"ABCDEFGHIJKLMNOPQRSTUVWXYZ")),CODE(MID($L15,34,1))-55,"#")))</f>
        <v/>
      </c>
      <c r="AV15" s="18" t="str">
        <f aca="false">_xlfn.CONCAT(N15:AU15)</f>
        <v/>
      </c>
      <c r="AW15" s="18" t="str">
        <f aca="false">IF(OR(AV15="",M15=FALSE()),"",MOD(VALUE(MID(AV15,1,9)),97))</f>
        <v/>
      </c>
      <c r="AX15" s="18" t="str">
        <f aca="false">IF(AW15="","",MOD(VALUE(AW15&amp;MID(AV15,10,7)),97))</f>
        <v/>
      </c>
      <c r="AY15" s="18" t="str">
        <f aca="false">IF(AX15="","",MOD(VALUE(AX15&amp;MID(AV15,17,7)),97))</f>
        <v/>
      </c>
      <c r="AZ15" s="18" t="str">
        <f aca="false">IF(AY15="","",MOD(VALUE(AY15&amp;MID(AV15,24,7)),97))</f>
        <v/>
      </c>
      <c r="BA15" s="18" t="str">
        <f aca="false">IF(AZ15="","",MOD(VALUE(AZ15&amp;MID(AV15,31,7)),97))</f>
        <v/>
      </c>
      <c r="BB15" s="18" t="str">
        <f aca="false">IF(BA15="","",MOD(VALUE(BA15&amp;MID(AV15,38,7)),97))</f>
        <v/>
      </c>
      <c r="BC15" s="18" t="str">
        <f aca="false">IF(BB15="","",MOD(VALUE(BB15&amp;MID(AV15,45,7)),97))</f>
        <v/>
      </c>
      <c r="BD15" s="18" t="str">
        <f aca="false">IF(BC15="","",MOD(VALUE(BC15&amp;MID(AV15,52,7)),97))</f>
        <v/>
      </c>
      <c r="BE15" s="18" t="str">
        <f aca="false">IF(BD15="","",MOD(VALUE(BD15&amp;MID(AV15,59,7)),97))</f>
        <v/>
      </c>
      <c r="BF15" s="18" t="str">
        <f aca="false">IF(BE15="","",MOD(VALUE(BE15&amp;MID(AV15,66,7)),97))</f>
        <v/>
      </c>
    </row>
    <row r="16" customFormat="false" ht="15" hidden="false" customHeight="false" outlineLevel="0" collapsed="false">
      <c r="A16" s="11"/>
      <c r="B16" s="5" t="str">
        <f aca="false">UPPER(SUBSTITUTE(SUBSTITUTE(SUBSTITUTE(TRIM(A16)," ",""),"-",""),CHAR(160),""))</f>
        <v/>
      </c>
      <c r="C16" s="5" t="str">
        <f aca="false">IF(B16="","",LEN(B16))</f>
        <v/>
      </c>
      <c r="D16" s="5" t="str">
        <f aca="false">IF(B16="","",LEFT(B16,2))</f>
        <v/>
      </c>
      <c r="E16" s="5" t="str">
        <f aca="false">IF(B16="","",MID(B16,3,2))</f>
        <v/>
      </c>
      <c r="F16" s="5" t="str">
        <f aca="false">IF(B16="","",MID(B16,5,2))</f>
        <v/>
      </c>
      <c r="G16" s="5" t="str">
        <f aca="false">IF(B16="","",IFERROR(INDEX('رموز البنوك'!$C$5:$C$30,MATCH(F16,'رموز البنوك'!$B$5:$B$30,0)),"رمز غير معروف"))</f>
        <v/>
      </c>
      <c r="H16" s="5" t="str">
        <f aca="false">BF16</f>
        <v/>
      </c>
      <c r="I16" s="5" t="str">
        <f aca="false">IF(OR(H16="",NOT(AND(ISNUMBER(FIND(MID(B16,3,1),"0123456789")),ISNUMBER(FIND(MID(B16,4,1),"0123456789"))))),"",TEXT(98-MOD(H16-VALUE(E16),97),"00"))</f>
        <v/>
      </c>
      <c r="J16" s="4" t="str">
        <f aca="false">IF(B16="","",IF(LEFT(K16,10)="آيبان صحيح","صحيح ✓","غير صحيح ✗"))</f>
        <v/>
      </c>
      <c r="K16" s="10" t="str">
        <f aca="false">IF(B16="","",IF(M16=FALSE(),"يحتوي رموزاً غير مسموحة (المسموح A–Z و 0–9 فقط)",IF(D16&lt;&gt;"SA","رمز الدولة "&amp;D16&amp;" — هذا المدقق للآيبان السعودي SA",IF(C16&lt;&gt;24,"الطول "&amp;C16&amp;" خانة والمطلوب 24",IF(NOT(AND(ISNUMBER(FIND(MID(B16,3,1),"0123456789")),ISNUMBER(FIND(MID(B16,4,1),"0123456789")))),"خانتا التدقيق يجب أن تكونا رقمين",IF(ISERROR(VALUE(MID(B16,5,20))),"رمز البنك ورقم الحساب يجب أن يكونا أرقاماً",IF(H16&lt;&gt;1,"فشل اختبار MOD-97 (الباقي "&amp;H16&amp;" وليس 1) — خطأ في كتابة الرقم؛ خانتا التدقيق الصحيحتان لهذا الحساب "&amp;I16,IF(G16="رمز غير معروف","اجتاز MOD-97 لكن رمز البنك "&amp;F16&amp;" غير مسجل في جدول البنوك","آيبان صحيح — "&amp;G16))))))))</f>
        <v/>
      </c>
      <c r="L16" s="18" t="str">
        <f aca="false">IF(B16="","",MID(B16,5,40)&amp;LEFT(B16,4))</f>
        <v/>
      </c>
      <c r="M16" s="18" t="str">
        <f aca="false">IF(L16="","",NOT(ISNUMBER(FIND("#",AV16))))</f>
        <v/>
      </c>
      <c r="N16" s="18" t="str">
        <f aca="false">IF(LEN($L16)&lt;1,"",IF(ISNUMBER(FIND(MID($L16,1,1),"0123456789")),MID($L16,1,1),IF(ISNUMBER(FIND(MID($L16,1,1),"ABCDEFGHIJKLMNOPQRSTUVWXYZ")),CODE(MID($L16,1,1))-55,"#")))</f>
        <v/>
      </c>
      <c r="O16" s="18" t="str">
        <f aca="false">IF(LEN($L16)&lt;2,"",IF(ISNUMBER(FIND(MID($L16,2,1),"0123456789")),MID($L16,2,1),IF(ISNUMBER(FIND(MID($L16,2,1),"ABCDEFGHIJKLMNOPQRSTUVWXYZ")),CODE(MID($L16,2,1))-55,"#")))</f>
        <v/>
      </c>
      <c r="P16" s="18" t="str">
        <f aca="false">IF(LEN($L16)&lt;3,"",IF(ISNUMBER(FIND(MID($L16,3,1),"0123456789")),MID($L16,3,1),IF(ISNUMBER(FIND(MID($L16,3,1),"ABCDEFGHIJKLMNOPQRSTUVWXYZ")),CODE(MID($L16,3,1))-55,"#")))</f>
        <v/>
      </c>
      <c r="Q16" s="18" t="str">
        <f aca="false">IF(LEN($L16)&lt;4,"",IF(ISNUMBER(FIND(MID($L16,4,1),"0123456789")),MID($L16,4,1),IF(ISNUMBER(FIND(MID($L16,4,1),"ABCDEFGHIJKLMNOPQRSTUVWXYZ")),CODE(MID($L16,4,1))-55,"#")))</f>
        <v/>
      </c>
      <c r="R16" s="18" t="str">
        <f aca="false">IF(LEN($L16)&lt;5,"",IF(ISNUMBER(FIND(MID($L16,5,1),"0123456789")),MID($L16,5,1),IF(ISNUMBER(FIND(MID($L16,5,1),"ABCDEFGHIJKLMNOPQRSTUVWXYZ")),CODE(MID($L16,5,1))-55,"#")))</f>
        <v/>
      </c>
      <c r="S16" s="18" t="str">
        <f aca="false">IF(LEN($L16)&lt;6,"",IF(ISNUMBER(FIND(MID($L16,6,1),"0123456789")),MID($L16,6,1),IF(ISNUMBER(FIND(MID($L16,6,1),"ABCDEFGHIJKLMNOPQRSTUVWXYZ")),CODE(MID($L16,6,1))-55,"#")))</f>
        <v/>
      </c>
      <c r="T16" s="18" t="str">
        <f aca="false">IF(LEN($L16)&lt;7,"",IF(ISNUMBER(FIND(MID($L16,7,1),"0123456789")),MID($L16,7,1),IF(ISNUMBER(FIND(MID($L16,7,1),"ABCDEFGHIJKLMNOPQRSTUVWXYZ")),CODE(MID($L16,7,1))-55,"#")))</f>
        <v/>
      </c>
      <c r="U16" s="18" t="str">
        <f aca="false">IF(LEN($L16)&lt;8,"",IF(ISNUMBER(FIND(MID($L16,8,1),"0123456789")),MID($L16,8,1),IF(ISNUMBER(FIND(MID($L16,8,1),"ABCDEFGHIJKLMNOPQRSTUVWXYZ")),CODE(MID($L16,8,1))-55,"#")))</f>
        <v/>
      </c>
      <c r="V16" s="18" t="str">
        <f aca="false">IF(LEN($L16)&lt;9,"",IF(ISNUMBER(FIND(MID($L16,9,1),"0123456789")),MID($L16,9,1),IF(ISNUMBER(FIND(MID($L16,9,1),"ABCDEFGHIJKLMNOPQRSTUVWXYZ")),CODE(MID($L16,9,1))-55,"#")))</f>
        <v/>
      </c>
      <c r="W16" s="18" t="str">
        <f aca="false">IF(LEN($L16)&lt;10,"",IF(ISNUMBER(FIND(MID($L16,10,1),"0123456789")),MID($L16,10,1),IF(ISNUMBER(FIND(MID($L16,10,1),"ABCDEFGHIJKLMNOPQRSTUVWXYZ")),CODE(MID($L16,10,1))-55,"#")))</f>
        <v/>
      </c>
      <c r="X16" s="18" t="str">
        <f aca="false">IF(LEN($L16)&lt;11,"",IF(ISNUMBER(FIND(MID($L16,11,1),"0123456789")),MID($L16,11,1),IF(ISNUMBER(FIND(MID($L16,11,1),"ABCDEFGHIJKLMNOPQRSTUVWXYZ")),CODE(MID($L16,11,1))-55,"#")))</f>
        <v/>
      </c>
      <c r="Y16" s="18" t="str">
        <f aca="false">IF(LEN($L16)&lt;12,"",IF(ISNUMBER(FIND(MID($L16,12,1),"0123456789")),MID($L16,12,1),IF(ISNUMBER(FIND(MID($L16,12,1),"ABCDEFGHIJKLMNOPQRSTUVWXYZ")),CODE(MID($L16,12,1))-55,"#")))</f>
        <v/>
      </c>
      <c r="Z16" s="18" t="str">
        <f aca="false">IF(LEN($L16)&lt;13,"",IF(ISNUMBER(FIND(MID($L16,13,1),"0123456789")),MID($L16,13,1),IF(ISNUMBER(FIND(MID($L16,13,1),"ABCDEFGHIJKLMNOPQRSTUVWXYZ")),CODE(MID($L16,13,1))-55,"#")))</f>
        <v/>
      </c>
      <c r="AA16" s="18" t="str">
        <f aca="false">IF(LEN($L16)&lt;14,"",IF(ISNUMBER(FIND(MID($L16,14,1),"0123456789")),MID($L16,14,1),IF(ISNUMBER(FIND(MID($L16,14,1),"ABCDEFGHIJKLMNOPQRSTUVWXYZ")),CODE(MID($L16,14,1))-55,"#")))</f>
        <v/>
      </c>
      <c r="AB16" s="18" t="str">
        <f aca="false">IF(LEN($L16)&lt;15,"",IF(ISNUMBER(FIND(MID($L16,15,1),"0123456789")),MID($L16,15,1),IF(ISNUMBER(FIND(MID($L16,15,1),"ABCDEFGHIJKLMNOPQRSTUVWXYZ")),CODE(MID($L16,15,1))-55,"#")))</f>
        <v/>
      </c>
      <c r="AC16" s="18" t="str">
        <f aca="false">IF(LEN($L16)&lt;16,"",IF(ISNUMBER(FIND(MID($L16,16,1),"0123456789")),MID($L16,16,1),IF(ISNUMBER(FIND(MID($L16,16,1),"ABCDEFGHIJKLMNOPQRSTUVWXYZ")),CODE(MID($L16,16,1))-55,"#")))</f>
        <v/>
      </c>
      <c r="AD16" s="18" t="str">
        <f aca="false">IF(LEN($L16)&lt;17,"",IF(ISNUMBER(FIND(MID($L16,17,1),"0123456789")),MID($L16,17,1),IF(ISNUMBER(FIND(MID($L16,17,1),"ABCDEFGHIJKLMNOPQRSTUVWXYZ")),CODE(MID($L16,17,1))-55,"#")))</f>
        <v/>
      </c>
      <c r="AE16" s="18" t="str">
        <f aca="false">IF(LEN($L16)&lt;18,"",IF(ISNUMBER(FIND(MID($L16,18,1),"0123456789")),MID($L16,18,1),IF(ISNUMBER(FIND(MID($L16,18,1),"ABCDEFGHIJKLMNOPQRSTUVWXYZ")),CODE(MID($L16,18,1))-55,"#")))</f>
        <v/>
      </c>
      <c r="AF16" s="18" t="str">
        <f aca="false">IF(LEN($L16)&lt;19,"",IF(ISNUMBER(FIND(MID($L16,19,1),"0123456789")),MID($L16,19,1),IF(ISNUMBER(FIND(MID($L16,19,1),"ABCDEFGHIJKLMNOPQRSTUVWXYZ")),CODE(MID($L16,19,1))-55,"#")))</f>
        <v/>
      </c>
      <c r="AG16" s="18" t="str">
        <f aca="false">IF(LEN($L16)&lt;20,"",IF(ISNUMBER(FIND(MID($L16,20,1),"0123456789")),MID($L16,20,1),IF(ISNUMBER(FIND(MID($L16,20,1),"ABCDEFGHIJKLMNOPQRSTUVWXYZ")),CODE(MID($L16,20,1))-55,"#")))</f>
        <v/>
      </c>
      <c r="AH16" s="18" t="str">
        <f aca="false">IF(LEN($L16)&lt;21,"",IF(ISNUMBER(FIND(MID($L16,21,1),"0123456789")),MID($L16,21,1),IF(ISNUMBER(FIND(MID($L16,21,1),"ABCDEFGHIJKLMNOPQRSTUVWXYZ")),CODE(MID($L16,21,1))-55,"#")))</f>
        <v/>
      </c>
      <c r="AI16" s="18" t="str">
        <f aca="false">IF(LEN($L16)&lt;22,"",IF(ISNUMBER(FIND(MID($L16,22,1),"0123456789")),MID($L16,22,1),IF(ISNUMBER(FIND(MID($L16,22,1),"ABCDEFGHIJKLMNOPQRSTUVWXYZ")),CODE(MID($L16,22,1))-55,"#")))</f>
        <v/>
      </c>
      <c r="AJ16" s="18" t="str">
        <f aca="false">IF(LEN($L16)&lt;23,"",IF(ISNUMBER(FIND(MID($L16,23,1),"0123456789")),MID($L16,23,1),IF(ISNUMBER(FIND(MID($L16,23,1),"ABCDEFGHIJKLMNOPQRSTUVWXYZ")),CODE(MID($L16,23,1))-55,"#")))</f>
        <v/>
      </c>
      <c r="AK16" s="18" t="str">
        <f aca="false">IF(LEN($L16)&lt;24,"",IF(ISNUMBER(FIND(MID($L16,24,1),"0123456789")),MID($L16,24,1),IF(ISNUMBER(FIND(MID($L16,24,1),"ABCDEFGHIJKLMNOPQRSTUVWXYZ")),CODE(MID($L16,24,1))-55,"#")))</f>
        <v/>
      </c>
      <c r="AL16" s="18" t="str">
        <f aca="false">IF(LEN($L16)&lt;25,"",IF(ISNUMBER(FIND(MID($L16,25,1),"0123456789")),MID($L16,25,1),IF(ISNUMBER(FIND(MID($L16,25,1),"ABCDEFGHIJKLMNOPQRSTUVWXYZ")),CODE(MID($L16,25,1))-55,"#")))</f>
        <v/>
      </c>
      <c r="AM16" s="18" t="str">
        <f aca="false">IF(LEN($L16)&lt;26,"",IF(ISNUMBER(FIND(MID($L16,26,1),"0123456789")),MID($L16,26,1),IF(ISNUMBER(FIND(MID($L16,26,1),"ABCDEFGHIJKLMNOPQRSTUVWXYZ")),CODE(MID($L16,26,1))-55,"#")))</f>
        <v/>
      </c>
      <c r="AN16" s="18" t="str">
        <f aca="false">IF(LEN($L16)&lt;27,"",IF(ISNUMBER(FIND(MID($L16,27,1),"0123456789")),MID($L16,27,1),IF(ISNUMBER(FIND(MID($L16,27,1),"ABCDEFGHIJKLMNOPQRSTUVWXYZ")),CODE(MID($L16,27,1))-55,"#")))</f>
        <v/>
      </c>
      <c r="AO16" s="18" t="str">
        <f aca="false">IF(LEN($L16)&lt;28,"",IF(ISNUMBER(FIND(MID($L16,28,1),"0123456789")),MID($L16,28,1),IF(ISNUMBER(FIND(MID($L16,28,1),"ABCDEFGHIJKLMNOPQRSTUVWXYZ")),CODE(MID($L16,28,1))-55,"#")))</f>
        <v/>
      </c>
      <c r="AP16" s="18" t="str">
        <f aca="false">IF(LEN($L16)&lt;29,"",IF(ISNUMBER(FIND(MID($L16,29,1),"0123456789")),MID($L16,29,1),IF(ISNUMBER(FIND(MID($L16,29,1),"ABCDEFGHIJKLMNOPQRSTUVWXYZ")),CODE(MID($L16,29,1))-55,"#")))</f>
        <v/>
      </c>
      <c r="AQ16" s="18" t="str">
        <f aca="false">IF(LEN($L16)&lt;30,"",IF(ISNUMBER(FIND(MID($L16,30,1),"0123456789")),MID($L16,30,1),IF(ISNUMBER(FIND(MID($L16,30,1),"ABCDEFGHIJKLMNOPQRSTUVWXYZ")),CODE(MID($L16,30,1))-55,"#")))</f>
        <v/>
      </c>
      <c r="AR16" s="18" t="str">
        <f aca="false">IF(LEN($L16)&lt;31,"",IF(ISNUMBER(FIND(MID($L16,31,1),"0123456789")),MID($L16,31,1),IF(ISNUMBER(FIND(MID($L16,31,1),"ABCDEFGHIJKLMNOPQRSTUVWXYZ")),CODE(MID($L16,31,1))-55,"#")))</f>
        <v/>
      </c>
      <c r="AS16" s="18" t="str">
        <f aca="false">IF(LEN($L16)&lt;32,"",IF(ISNUMBER(FIND(MID($L16,32,1),"0123456789")),MID($L16,32,1),IF(ISNUMBER(FIND(MID($L16,32,1),"ABCDEFGHIJKLMNOPQRSTUVWXYZ")),CODE(MID($L16,32,1))-55,"#")))</f>
        <v/>
      </c>
      <c r="AT16" s="18" t="str">
        <f aca="false">IF(LEN($L16)&lt;33,"",IF(ISNUMBER(FIND(MID($L16,33,1),"0123456789")),MID($L16,33,1),IF(ISNUMBER(FIND(MID($L16,33,1),"ABCDEFGHIJKLMNOPQRSTUVWXYZ")),CODE(MID($L16,33,1))-55,"#")))</f>
        <v/>
      </c>
      <c r="AU16" s="18" t="str">
        <f aca="false">IF(LEN($L16)&lt;34,"",IF(ISNUMBER(FIND(MID($L16,34,1),"0123456789")),MID($L16,34,1),IF(ISNUMBER(FIND(MID($L16,34,1),"ABCDEFGHIJKLMNOPQRSTUVWXYZ")),CODE(MID($L16,34,1))-55,"#")))</f>
        <v/>
      </c>
      <c r="AV16" s="18" t="str">
        <f aca="false">_xlfn.CONCAT(N16:AU16)</f>
        <v/>
      </c>
      <c r="AW16" s="18" t="str">
        <f aca="false">IF(OR(AV16="",M16=FALSE()),"",MOD(VALUE(MID(AV16,1,9)),97))</f>
        <v/>
      </c>
      <c r="AX16" s="18" t="str">
        <f aca="false">IF(AW16="","",MOD(VALUE(AW16&amp;MID(AV16,10,7)),97))</f>
        <v/>
      </c>
      <c r="AY16" s="18" t="str">
        <f aca="false">IF(AX16="","",MOD(VALUE(AX16&amp;MID(AV16,17,7)),97))</f>
        <v/>
      </c>
      <c r="AZ16" s="18" t="str">
        <f aca="false">IF(AY16="","",MOD(VALUE(AY16&amp;MID(AV16,24,7)),97))</f>
        <v/>
      </c>
      <c r="BA16" s="18" t="str">
        <f aca="false">IF(AZ16="","",MOD(VALUE(AZ16&amp;MID(AV16,31,7)),97))</f>
        <v/>
      </c>
      <c r="BB16" s="18" t="str">
        <f aca="false">IF(BA16="","",MOD(VALUE(BA16&amp;MID(AV16,38,7)),97))</f>
        <v/>
      </c>
      <c r="BC16" s="18" t="str">
        <f aca="false">IF(BB16="","",MOD(VALUE(BB16&amp;MID(AV16,45,7)),97))</f>
        <v/>
      </c>
      <c r="BD16" s="18" t="str">
        <f aca="false">IF(BC16="","",MOD(VALUE(BC16&amp;MID(AV16,52,7)),97))</f>
        <v/>
      </c>
      <c r="BE16" s="18" t="str">
        <f aca="false">IF(BD16="","",MOD(VALUE(BD16&amp;MID(AV16,59,7)),97))</f>
        <v/>
      </c>
      <c r="BF16" s="18" t="str">
        <f aca="false">IF(BE16="","",MOD(VALUE(BE16&amp;MID(AV16,66,7)),97))</f>
        <v/>
      </c>
    </row>
    <row r="17" customFormat="false" ht="15" hidden="false" customHeight="false" outlineLevel="0" collapsed="false">
      <c r="A17" s="11"/>
      <c r="B17" s="5" t="str">
        <f aca="false">UPPER(SUBSTITUTE(SUBSTITUTE(SUBSTITUTE(TRIM(A17)," ",""),"-",""),CHAR(160),""))</f>
        <v/>
      </c>
      <c r="C17" s="5" t="str">
        <f aca="false">IF(B17="","",LEN(B17))</f>
        <v/>
      </c>
      <c r="D17" s="5" t="str">
        <f aca="false">IF(B17="","",LEFT(B17,2))</f>
        <v/>
      </c>
      <c r="E17" s="5" t="str">
        <f aca="false">IF(B17="","",MID(B17,3,2))</f>
        <v/>
      </c>
      <c r="F17" s="5" t="str">
        <f aca="false">IF(B17="","",MID(B17,5,2))</f>
        <v/>
      </c>
      <c r="G17" s="5" t="str">
        <f aca="false">IF(B17="","",IFERROR(INDEX('رموز البنوك'!$C$5:$C$30,MATCH(F17,'رموز البنوك'!$B$5:$B$30,0)),"رمز غير معروف"))</f>
        <v/>
      </c>
      <c r="H17" s="5" t="str">
        <f aca="false">BF17</f>
        <v/>
      </c>
      <c r="I17" s="5" t="str">
        <f aca="false">IF(OR(H17="",NOT(AND(ISNUMBER(FIND(MID(B17,3,1),"0123456789")),ISNUMBER(FIND(MID(B17,4,1),"0123456789"))))),"",TEXT(98-MOD(H17-VALUE(E17),97),"00"))</f>
        <v/>
      </c>
      <c r="J17" s="4" t="str">
        <f aca="false">IF(B17="","",IF(LEFT(K17,10)="آيبان صحيح","صحيح ✓","غير صحيح ✗"))</f>
        <v/>
      </c>
      <c r="K17" s="10" t="str">
        <f aca="false">IF(B17="","",IF(M17=FALSE(),"يحتوي رموزاً غير مسموحة (المسموح A–Z و 0–9 فقط)",IF(D17&lt;&gt;"SA","رمز الدولة "&amp;D17&amp;" — هذا المدقق للآيبان السعودي SA",IF(C17&lt;&gt;24,"الطول "&amp;C17&amp;" خانة والمطلوب 24",IF(NOT(AND(ISNUMBER(FIND(MID(B17,3,1),"0123456789")),ISNUMBER(FIND(MID(B17,4,1),"0123456789")))),"خانتا التدقيق يجب أن تكونا رقمين",IF(ISERROR(VALUE(MID(B17,5,20))),"رمز البنك ورقم الحساب يجب أن يكونا أرقاماً",IF(H17&lt;&gt;1,"فشل اختبار MOD-97 (الباقي "&amp;H17&amp;" وليس 1) — خطأ في كتابة الرقم؛ خانتا التدقيق الصحيحتان لهذا الحساب "&amp;I17,IF(G17="رمز غير معروف","اجتاز MOD-97 لكن رمز البنك "&amp;F17&amp;" غير مسجل في جدول البنوك","آيبان صحيح — "&amp;G17))))))))</f>
        <v/>
      </c>
      <c r="L17" s="18" t="str">
        <f aca="false">IF(B17="","",MID(B17,5,40)&amp;LEFT(B17,4))</f>
        <v/>
      </c>
      <c r="M17" s="18" t="str">
        <f aca="false">IF(L17="","",NOT(ISNUMBER(FIND("#",AV17))))</f>
        <v/>
      </c>
      <c r="N17" s="18" t="str">
        <f aca="false">IF(LEN($L17)&lt;1,"",IF(ISNUMBER(FIND(MID($L17,1,1),"0123456789")),MID($L17,1,1),IF(ISNUMBER(FIND(MID($L17,1,1),"ABCDEFGHIJKLMNOPQRSTUVWXYZ")),CODE(MID($L17,1,1))-55,"#")))</f>
        <v/>
      </c>
      <c r="O17" s="18" t="str">
        <f aca="false">IF(LEN($L17)&lt;2,"",IF(ISNUMBER(FIND(MID($L17,2,1),"0123456789")),MID($L17,2,1),IF(ISNUMBER(FIND(MID($L17,2,1),"ABCDEFGHIJKLMNOPQRSTUVWXYZ")),CODE(MID($L17,2,1))-55,"#")))</f>
        <v/>
      </c>
      <c r="P17" s="18" t="str">
        <f aca="false">IF(LEN($L17)&lt;3,"",IF(ISNUMBER(FIND(MID($L17,3,1),"0123456789")),MID($L17,3,1),IF(ISNUMBER(FIND(MID($L17,3,1),"ABCDEFGHIJKLMNOPQRSTUVWXYZ")),CODE(MID($L17,3,1))-55,"#")))</f>
        <v/>
      </c>
      <c r="Q17" s="18" t="str">
        <f aca="false">IF(LEN($L17)&lt;4,"",IF(ISNUMBER(FIND(MID($L17,4,1),"0123456789")),MID($L17,4,1),IF(ISNUMBER(FIND(MID($L17,4,1),"ABCDEFGHIJKLMNOPQRSTUVWXYZ")),CODE(MID($L17,4,1))-55,"#")))</f>
        <v/>
      </c>
      <c r="R17" s="18" t="str">
        <f aca="false">IF(LEN($L17)&lt;5,"",IF(ISNUMBER(FIND(MID($L17,5,1),"0123456789")),MID($L17,5,1),IF(ISNUMBER(FIND(MID($L17,5,1),"ABCDEFGHIJKLMNOPQRSTUVWXYZ")),CODE(MID($L17,5,1))-55,"#")))</f>
        <v/>
      </c>
      <c r="S17" s="18" t="str">
        <f aca="false">IF(LEN($L17)&lt;6,"",IF(ISNUMBER(FIND(MID($L17,6,1),"0123456789")),MID($L17,6,1),IF(ISNUMBER(FIND(MID($L17,6,1),"ABCDEFGHIJKLMNOPQRSTUVWXYZ")),CODE(MID($L17,6,1))-55,"#")))</f>
        <v/>
      </c>
      <c r="T17" s="18" t="str">
        <f aca="false">IF(LEN($L17)&lt;7,"",IF(ISNUMBER(FIND(MID($L17,7,1),"0123456789")),MID($L17,7,1),IF(ISNUMBER(FIND(MID($L17,7,1),"ABCDEFGHIJKLMNOPQRSTUVWXYZ")),CODE(MID($L17,7,1))-55,"#")))</f>
        <v/>
      </c>
      <c r="U17" s="18" t="str">
        <f aca="false">IF(LEN($L17)&lt;8,"",IF(ISNUMBER(FIND(MID($L17,8,1),"0123456789")),MID($L17,8,1),IF(ISNUMBER(FIND(MID($L17,8,1),"ABCDEFGHIJKLMNOPQRSTUVWXYZ")),CODE(MID($L17,8,1))-55,"#")))</f>
        <v/>
      </c>
      <c r="V17" s="18" t="str">
        <f aca="false">IF(LEN($L17)&lt;9,"",IF(ISNUMBER(FIND(MID($L17,9,1),"0123456789")),MID($L17,9,1),IF(ISNUMBER(FIND(MID($L17,9,1),"ABCDEFGHIJKLMNOPQRSTUVWXYZ")),CODE(MID($L17,9,1))-55,"#")))</f>
        <v/>
      </c>
      <c r="W17" s="18" t="str">
        <f aca="false">IF(LEN($L17)&lt;10,"",IF(ISNUMBER(FIND(MID($L17,10,1),"0123456789")),MID($L17,10,1),IF(ISNUMBER(FIND(MID($L17,10,1),"ABCDEFGHIJKLMNOPQRSTUVWXYZ")),CODE(MID($L17,10,1))-55,"#")))</f>
        <v/>
      </c>
      <c r="X17" s="18" t="str">
        <f aca="false">IF(LEN($L17)&lt;11,"",IF(ISNUMBER(FIND(MID($L17,11,1),"0123456789")),MID($L17,11,1),IF(ISNUMBER(FIND(MID($L17,11,1),"ABCDEFGHIJKLMNOPQRSTUVWXYZ")),CODE(MID($L17,11,1))-55,"#")))</f>
        <v/>
      </c>
      <c r="Y17" s="18" t="str">
        <f aca="false">IF(LEN($L17)&lt;12,"",IF(ISNUMBER(FIND(MID($L17,12,1),"0123456789")),MID($L17,12,1),IF(ISNUMBER(FIND(MID($L17,12,1),"ABCDEFGHIJKLMNOPQRSTUVWXYZ")),CODE(MID($L17,12,1))-55,"#")))</f>
        <v/>
      </c>
      <c r="Z17" s="18" t="str">
        <f aca="false">IF(LEN($L17)&lt;13,"",IF(ISNUMBER(FIND(MID($L17,13,1),"0123456789")),MID($L17,13,1),IF(ISNUMBER(FIND(MID($L17,13,1),"ABCDEFGHIJKLMNOPQRSTUVWXYZ")),CODE(MID($L17,13,1))-55,"#")))</f>
        <v/>
      </c>
      <c r="AA17" s="18" t="str">
        <f aca="false">IF(LEN($L17)&lt;14,"",IF(ISNUMBER(FIND(MID($L17,14,1),"0123456789")),MID($L17,14,1),IF(ISNUMBER(FIND(MID($L17,14,1),"ABCDEFGHIJKLMNOPQRSTUVWXYZ")),CODE(MID($L17,14,1))-55,"#")))</f>
        <v/>
      </c>
      <c r="AB17" s="18" t="str">
        <f aca="false">IF(LEN($L17)&lt;15,"",IF(ISNUMBER(FIND(MID($L17,15,1),"0123456789")),MID($L17,15,1),IF(ISNUMBER(FIND(MID($L17,15,1),"ABCDEFGHIJKLMNOPQRSTUVWXYZ")),CODE(MID($L17,15,1))-55,"#")))</f>
        <v/>
      </c>
      <c r="AC17" s="18" t="str">
        <f aca="false">IF(LEN($L17)&lt;16,"",IF(ISNUMBER(FIND(MID($L17,16,1),"0123456789")),MID($L17,16,1),IF(ISNUMBER(FIND(MID($L17,16,1),"ABCDEFGHIJKLMNOPQRSTUVWXYZ")),CODE(MID($L17,16,1))-55,"#")))</f>
        <v/>
      </c>
      <c r="AD17" s="18" t="str">
        <f aca="false">IF(LEN($L17)&lt;17,"",IF(ISNUMBER(FIND(MID($L17,17,1),"0123456789")),MID($L17,17,1),IF(ISNUMBER(FIND(MID($L17,17,1),"ABCDEFGHIJKLMNOPQRSTUVWXYZ")),CODE(MID($L17,17,1))-55,"#")))</f>
        <v/>
      </c>
      <c r="AE17" s="18" t="str">
        <f aca="false">IF(LEN($L17)&lt;18,"",IF(ISNUMBER(FIND(MID($L17,18,1),"0123456789")),MID($L17,18,1),IF(ISNUMBER(FIND(MID($L17,18,1),"ABCDEFGHIJKLMNOPQRSTUVWXYZ")),CODE(MID($L17,18,1))-55,"#")))</f>
        <v/>
      </c>
      <c r="AF17" s="18" t="str">
        <f aca="false">IF(LEN($L17)&lt;19,"",IF(ISNUMBER(FIND(MID($L17,19,1),"0123456789")),MID($L17,19,1),IF(ISNUMBER(FIND(MID($L17,19,1),"ABCDEFGHIJKLMNOPQRSTUVWXYZ")),CODE(MID($L17,19,1))-55,"#")))</f>
        <v/>
      </c>
      <c r="AG17" s="18" t="str">
        <f aca="false">IF(LEN($L17)&lt;20,"",IF(ISNUMBER(FIND(MID($L17,20,1),"0123456789")),MID($L17,20,1),IF(ISNUMBER(FIND(MID($L17,20,1),"ABCDEFGHIJKLMNOPQRSTUVWXYZ")),CODE(MID($L17,20,1))-55,"#")))</f>
        <v/>
      </c>
      <c r="AH17" s="18" t="str">
        <f aca="false">IF(LEN($L17)&lt;21,"",IF(ISNUMBER(FIND(MID($L17,21,1),"0123456789")),MID($L17,21,1),IF(ISNUMBER(FIND(MID($L17,21,1),"ABCDEFGHIJKLMNOPQRSTUVWXYZ")),CODE(MID($L17,21,1))-55,"#")))</f>
        <v/>
      </c>
      <c r="AI17" s="18" t="str">
        <f aca="false">IF(LEN($L17)&lt;22,"",IF(ISNUMBER(FIND(MID($L17,22,1),"0123456789")),MID($L17,22,1),IF(ISNUMBER(FIND(MID($L17,22,1),"ABCDEFGHIJKLMNOPQRSTUVWXYZ")),CODE(MID($L17,22,1))-55,"#")))</f>
        <v/>
      </c>
      <c r="AJ17" s="18" t="str">
        <f aca="false">IF(LEN($L17)&lt;23,"",IF(ISNUMBER(FIND(MID($L17,23,1),"0123456789")),MID($L17,23,1),IF(ISNUMBER(FIND(MID($L17,23,1),"ABCDEFGHIJKLMNOPQRSTUVWXYZ")),CODE(MID($L17,23,1))-55,"#")))</f>
        <v/>
      </c>
      <c r="AK17" s="18" t="str">
        <f aca="false">IF(LEN($L17)&lt;24,"",IF(ISNUMBER(FIND(MID($L17,24,1),"0123456789")),MID($L17,24,1),IF(ISNUMBER(FIND(MID($L17,24,1),"ABCDEFGHIJKLMNOPQRSTUVWXYZ")),CODE(MID($L17,24,1))-55,"#")))</f>
        <v/>
      </c>
      <c r="AL17" s="18" t="str">
        <f aca="false">IF(LEN($L17)&lt;25,"",IF(ISNUMBER(FIND(MID($L17,25,1),"0123456789")),MID($L17,25,1),IF(ISNUMBER(FIND(MID($L17,25,1),"ABCDEFGHIJKLMNOPQRSTUVWXYZ")),CODE(MID($L17,25,1))-55,"#")))</f>
        <v/>
      </c>
      <c r="AM17" s="18" t="str">
        <f aca="false">IF(LEN($L17)&lt;26,"",IF(ISNUMBER(FIND(MID($L17,26,1),"0123456789")),MID($L17,26,1),IF(ISNUMBER(FIND(MID($L17,26,1),"ABCDEFGHIJKLMNOPQRSTUVWXYZ")),CODE(MID($L17,26,1))-55,"#")))</f>
        <v/>
      </c>
      <c r="AN17" s="18" t="str">
        <f aca="false">IF(LEN($L17)&lt;27,"",IF(ISNUMBER(FIND(MID($L17,27,1),"0123456789")),MID($L17,27,1),IF(ISNUMBER(FIND(MID($L17,27,1),"ABCDEFGHIJKLMNOPQRSTUVWXYZ")),CODE(MID($L17,27,1))-55,"#")))</f>
        <v/>
      </c>
      <c r="AO17" s="18" t="str">
        <f aca="false">IF(LEN($L17)&lt;28,"",IF(ISNUMBER(FIND(MID($L17,28,1),"0123456789")),MID($L17,28,1),IF(ISNUMBER(FIND(MID($L17,28,1),"ABCDEFGHIJKLMNOPQRSTUVWXYZ")),CODE(MID($L17,28,1))-55,"#")))</f>
        <v/>
      </c>
      <c r="AP17" s="18" t="str">
        <f aca="false">IF(LEN($L17)&lt;29,"",IF(ISNUMBER(FIND(MID($L17,29,1),"0123456789")),MID($L17,29,1),IF(ISNUMBER(FIND(MID($L17,29,1),"ABCDEFGHIJKLMNOPQRSTUVWXYZ")),CODE(MID($L17,29,1))-55,"#")))</f>
        <v/>
      </c>
      <c r="AQ17" s="18" t="str">
        <f aca="false">IF(LEN($L17)&lt;30,"",IF(ISNUMBER(FIND(MID($L17,30,1),"0123456789")),MID($L17,30,1),IF(ISNUMBER(FIND(MID($L17,30,1),"ABCDEFGHIJKLMNOPQRSTUVWXYZ")),CODE(MID($L17,30,1))-55,"#")))</f>
        <v/>
      </c>
      <c r="AR17" s="18" t="str">
        <f aca="false">IF(LEN($L17)&lt;31,"",IF(ISNUMBER(FIND(MID($L17,31,1),"0123456789")),MID($L17,31,1),IF(ISNUMBER(FIND(MID($L17,31,1),"ABCDEFGHIJKLMNOPQRSTUVWXYZ")),CODE(MID($L17,31,1))-55,"#")))</f>
        <v/>
      </c>
      <c r="AS17" s="18" t="str">
        <f aca="false">IF(LEN($L17)&lt;32,"",IF(ISNUMBER(FIND(MID($L17,32,1),"0123456789")),MID($L17,32,1),IF(ISNUMBER(FIND(MID($L17,32,1),"ABCDEFGHIJKLMNOPQRSTUVWXYZ")),CODE(MID($L17,32,1))-55,"#")))</f>
        <v/>
      </c>
      <c r="AT17" s="18" t="str">
        <f aca="false">IF(LEN($L17)&lt;33,"",IF(ISNUMBER(FIND(MID($L17,33,1),"0123456789")),MID($L17,33,1),IF(ISNUMBER(FIND(MID($L17,33,1),"ABCDEFGHIJKLMNOPQRSTUVWXYZ")),CODE(MID($L17,33,1))-55,"#")))</f>
        <v/>
      </c>
      <c r="AU17" s="18" t="str">
        <f aca="false">IF(LEN($L17)&lt;34,"",IF(ISNUMBER(FIND(MID($L17,34,1),"0123456789")),MID($L17,34,1),IF(ISNUMBER(FIND(MID($L17,34,1),"ABCDEFGHIJKLMNOPQRSTUVWXYZ")),CODE(MID($L17,34,1))-55,"#")))</f>
        <v/>
      </c>
      <c r="AV17" s="18" t="str">
        <f aca="false">_xlfn.CONCAT(N17:AU17)</f>
        <v/>
      </c>
      <c r="AW17" s="18" t="str">
        <f aca="false">IF(OR(AV17="",M17=FALSE()),"",MOD(VALUE(MID(AV17,1,9)),97))</f>
        <v/>
      </c>
      <c r="AX17" s="18" t="str">
        <f aca="false">IF(AW17="","",MOD(VALUE(AW17&amp;MID(AV17,10,7)),97))</f>
        <v/>
      </c>
      <c r="AY17" s="18" t="str">
        <f aca="false">IF(AX17="","",MOD(VALUE(AX17&amp;MID(AV17,17,7)),97))</f>
        <v/>
      </c>
      <c r="AZ17" s="18" t="str">
        <f aca="false">IF(AY17="","",MOD(VALUE(AY17&amp;MID(AV17,24,7)),97))</f>
        <v/>
      </c>
      <c r="BA17" s="18" t="str">
        <f aca="false">IF(AZ17="","",MOD(VALUE(AZ17&amp;MID(AV17,31,7)),97))</f>
        <v/>
      </c>
      <c r="BB17" s="18" t="str">
        <f aca="false">IF(BA17="","",MOD(VALUE(BA17&amp;MID(AV17,38,7)),97))</f>
        <v/>
      </c>
      <c r="BC17" s="18" t="str">
        <f aca="false">IF(BB17="","",MOD(VALUE(BB17&amp;MID(AV17,45,7)),97))</f>
        <v/>
      </c>
      <c r="BD17" s="18" t="str">
        <f aca="false">IF(BC17="","",MOD(VALUE(BC17&amp;MID(AV17,52,7)),97))</f>
        <v/>
      </c>
      <c r="BE17" s="18" t="str">
        <f aca="false">IF(BD17="","",MOD(VALUE(BD17&amp;MID(AV17,59,7)),97))</f>
        <v/>
      </c>
      <c r="BF17" s="18" t="str">
        <f aca="false">IF(BE17="","",MOD(VALUE(BE17&amp;MID(AV17,66,7)),97))</f>
        <v/>
      </c>
    </row>
    <row r="18" customFormat="false" ht="15" hidden="false" customHeight="false" outlineLevel="0" collapsed="false">
      <c r="A18" s="11"/>
      <c r="B18" s="5" t="str">
        <f aca="false">UPPER(SUBSTITUTE(SUBSTITUTE(SUBSTITUTE(TRIM(A18)," ",""),"-",""),CHAR(160),""))</f>
        <v/>
      </c>
      <c r="C18" s="5" t="str">
        <f aca="false">IF(B18="","",LEN(B18))</f>
        <v/>
      </c>
      <c r="D18" s="5" t="str">
        <f aca="false">IF(B18="","",LEFT(B18,2))</f>
        <v/>
      </c>
      <c r="E18" s="5" t="str">
        <f aca="false">IF(B18="","",MID(B18,3,2))</f>
        <v/>
      </c>
      <c r="F18" s="5" t="str">
        <f aca="false">IF(B18="","",MID(B18,5,2))</f>
        <v/>
      </c>
      <c r="G18" s="5" t="str">
        <f aca="false">IF(B18="","",IFERROR(INDEX('رموز البنوك'!$C$5:$C$30,MATCH(F18,'رموز البنوك'!$B$5:$B$30,0)),"رمز غير معروف"))</f>
        <v/>
      </c>
      <c r="H18" s="5" t="str">
        <f aca="false">BF18</f>
        <v/>
      </c>
      <c r="I18" s="5" t="str">
        <f aca="false">IF(OR(H18="",NOT(AND(ISNUMBER(FIND(MID(B18,3,1),"0123456789")),ISNUMBER(FIND(MID(B18,4,1),"0123456789"))))),"",TEXT(98-MOD(H18-VALUE(E18),97),"00"))</f>
        <v/>
      </c>
      <c r="J18" s="4" t="str">
        <f aca="false">IF(B18="","",IF(LEFT(K18,10)="آيبان صحيح","صحيح ✓","غير صحيح ✗"))</f>
        <v/>
      </c>
      <c r="K18" s="10" t="str">
        <f aca="false">IF(B18="","",IF(M18=FALSE(),"يحتوي رموزاً غير مسموحة (المسموح A–Z و 0–9 فقط)",IF(D18&lt;&gt;"SA","رمز الدولة "&amp;D18&amp;" — هذا المدقق للآيبان السعودي SA",IF(C18&lt;&gt;24,"الطول "&amp;C18&amp;" خانة والمطلوب 24",IF(NOT(AND(ISNUMBER(FIND(MID(B18,3,1),"0123456789")),ISNUMBER(FIND(MID(B18,4,1),"0123456789")))),"خانتا التدقيق يجب أن تكونا رقمين",IF(ISERROR(VALUE(MID(B18,5,20))),"رمز البنك ورقم الحساب يجب أن يكونا أرقاماً",IF(H18&lt;&gt;1,"فشل اختبار MOD-97 (الباقي "&amp;H18&amp;" وليس 1) — خطأ في كتابة الرقم؛ خانتا التدقيق الصحيحتان لهذا الحساب "&amp;I18,IF(G18="رمز غير معروف","اجتاز MOD-97 لكن رمز البنك "&amp;F18&amp;" غير مسجل في جدول البنوك","آيبان صحيح — "&amp;G18))))))))</f>
        <v/>
      </c>
      <c r="L18" s="18" t="str">
        <f aca="false">IF(B18="","",MID(B18,5,40)&amp;LEFT(B18,4))</f>
        <v/>
      </c>
      <c r="M18" s="18" t="str">
        <f aca="false">IF(L18="","",NOT(ISNUMBER(FIND("#",AV18))))</f>
        <v/>
      </c>
      <c r="N18" s="18" t="str">
        <f aca="false">IF(LEN($L18)&lt;1,"",IF(ISNUMBER(FIND(MID($L18,1,1),"0123456789")),MID($L18,1,1),IF(ISNUMBER(FIND(MID($L18,1,1),"ABCDEFGHIJKLMNOPQRSTUVWXYZ")),CODE(MID($L18,1,1))-55,"#")))</f>
        <v/>
      </c>
      <c r="O18" s="18" t="str">
        <f aca="false">IF(LEN($L18)&lt;2,"",IF(ISNUMBER(FIND(MID($L18,2,1),"0123456789")),MID($L18,2,1),IF(ISNUMBER(FIND(MID($L18,2,1),"ABCDEFGHIJKLMNOPQRSTUVWXYZ")),CODE(MID($L18,2,1))-55,"#")))</f>
        <v/>
      </c>
      <c r="P18" s="18" t="str">
        <f aca="false">IF(LEN($L18)&lt;3,"",IF(ISNUMBER(FIND(MID($L18,3,1),"0123456789")),MID($L18,3,1),IF(ISNUMBER(FIND(MID($L18,3,1),"ABCDEFGHIJKLMNOPQRSTUVWXYZ")),CODE(MID($L18,3,1))-55,"#")))</f>
        <v/>
      </c>
      <c r="Q18" s="18" t="str">
        <f aca="false">IF(LEN($L18)&lt;4,"",IF(ISNUMBER(FIND(MID($L18,4,1),"0123456789")),MID($L18,4,1),IF(ISNUMBER(FIND(MID($L18,4,1),"ABCDEFGHIJKLMNOPQRSTUVWXYZ")),CODE(MID($L18,4,1))-55,"#")))</f>
        <v/>
      </c>
      <c r="R18" s="18" t="str">
        <f aca="false">IF(LEN($L18)&lt;5,"",IF(ISNUMBER(FIND(MID($L18,5,1),"0123456789")),MID($L18,5,1),IF(ISNUMBER(FIND(MID($L18,5,1),"ABCDEFGHIJKLMNOPQRSTUVWXYZ")),CODE(MID($L18,5,1))-55,"#")))</f>
        <v/>
      </c>
      <c r="S18" s="18" t="str">
        <f aca="false">IF(LEN($L18)&lt;6,"",IF(ISNUMBER(FIND(MID($L18,6,1),"0123456789")),MID($L18,6,1),IF(ISNUMBER(FIND(MID($L18,6,1),"ABCDEFGHIJKLMNOPQRSTUVWXYZ")),CODE(MID($L18,6,1))-55,"#")))</f>
        <v/>
      </c>
      <c r="T18" s="18" t="str">
        <f aca="false">IF(LEN($L18)&lt;7,"",IF(ISNUMBER(FIND(MID($L18,7,1),"0123456789")),MID($L18,7,1),IF(ISNUMBER(FIND(MID($L18,7,1),"ABCDEFGHIJKLMNOPQRSTUVWXYZ")),CODE(MID($L18,7,1))-55,"#")))</f>
        <v/>
      </c>
      <c r="U18" s="18" t="str">
        <f aca="false">IF(LEN($L18)&lt;8,"",IF(ISNUMBER(FIND(MID($L18,8,1),"0123456789")),MID($L18,8,1),IF(ISNUMBER(FIND(MID($L18,8,1),"ABCDEFGHIJKLMNOPQRSTUVWXYZ")),CODE(MID($L18,8,1))-55,"#")))</f>
        <v/>
      </c>
      <c r="V18" s="18" t="str">
        <f aca="false">IF(LEN($L18)&lt;9,"",IF(ISNUMBER(FIND(MID($L18,9,1),"0123456789")),MID($L18,9,1),IF(ISNUMBER(FIND(MID($L18,9,1),"ABCDEFGHIJKLMNOPQRSTUVWXYZ")),CODE(MID($L18,9,1))-55,"#")))</f>
        <v/>
      </c>
      <c r="W18" s="18" t="str">
        <f aca="false">IF(LEN($L18)&lt;10,"",IF(ISNUMBER(FIND(MID($L18,10,1),"0123456789")),MID($L18,10,1),IF(ISNUMBER(FIND(MID($L18,10,1),"ABCDEFGHIJKLMNOPQRSTUVWXYZ")),CODE(MID($L18,10,1))-55,"#")))</f>
        <v/>
      </c>
      <c r="X18" s="18" t="str">
        <f aca="false">IF(LEN($L18)&lt;11,"",IF(ISNUMBER(FIND(MID($L18,11,1),"0123456789")),MID($L18,11,1),IF(ISNUMBER(FIND(MID($L18,11,1),"ABCDEFGHIJKLMNOPQRSTUVWXYZ")),CODE(MID($L18,11,1))-55,"#")))</f>
        <v/>
      </c>
      <c r="Y18" s="18" t="str">
        <f aca="false">IF(LEN($L18)&lt;12,"",IF(ISNUMBER(FIND(MID($L18,12,1),"0123456789")),MID($L18,12,1),IF(ISNUMBER(FIND(MID($L18,12,1),"ABCDEFGHIJKLMNOPQRSTUVWXYZ")),CODE(MID($L18,12,1))-55,"#")))</f>
        <v/>
      </c>
      <c r="Z18" s="18" t="str">
        <f aca="false">IF(LEN($L18)&lt;13,"",IF(ISNUMBER(FIND(MID($L18,13,1),"0123456789")),MID($L18,13,1),IF(ISNUMBER(FIND(MID($L18,13,1),"ABCDEFGHIJKLMNOPQRSTUVWXYZ")),CODE(MID($L18,13,1))-55,"#")))</f>
        <v/>
      </c>
      <c r="AA18" s="18" t="str">
        <f aca="false">IF(LEN($L18)&lt;14,"",IF(ISNUMBER(FIND(MID($L18,14,1),"0123456789")),MID($L18,14,1),IF(ISNUMBER(FIND(MID($L18,14,1),"ABCDEFGHIJKLMNOPQRSTUVWXYZ")),CODE(MID($L18,14,1))-55,"#")))</f>
        <v/>
      </c>
      <c r="AB18" s="18" t="str">
        <f aca="false">IF(LEN($L18)&lt;15,"",IF(ISNUMBER(FIND(MID($L18,15,1),"0123456789")),MID($L18,15,1),IF(ISNUMBER(FIND(MID($L18,15,1),"ABCDEFGHIJKLMNOPQRSTUVWXYZ")),CODE(MID($L18,15,1))-55,"#")))</f>
        <v/>
      </c>
      <c r="AC18" s="18" t="str">
        <f aca="false">IF(LEN($L18)&lt;16,"",IF(ISNUMBER(FIND(MID($L18,16,1),"0123456789")),MID($L18,16,1),IF(ISNUMBER(FIND(MID($L18,16,1),"ABCDEFGHIJKLMNOPQRSTUVWXYZ")),CODE(MID($L18,16,1))-55,"#")))</f>
        <v/>
      </c>
      <c r="AD18" s="18" t="str">
        <f aca="false">IF(LEN($L18)&lt;17,"",IF(ISNUMBER(FIND(MID($L18,17,1),"0123456789")),MID($L18,17,1),IF(ISNUMBER(FIND(MID($L18,17,1),"ABCDEFGHIJKLMNOPQRSTUVWXYZ")),CODE(MID($L18,17,1))-55,"#")))</f>
        <v/>
      </c>
      <c r="AE18" s="18" t="str">
        <f aca="false">IF(LEN($L18)&lt;18,"",IF(ISNUMBER(FIND(MID($L18,18,1),"0123456789")),MID($L18,18,1),IF(ISNUMBER(FIND(MID($L18,18,1),"ABCDEFGHIJKLMNOPQRSTUVWXYZ")),CODE(MID($L18,18,1))-55,"#")))</f>
        <v/>
      </c>
      <c r="AF18" s="18" t="str">
        <f aca="false">IF(LEN($L18)&lt;19,"",IF(ISNUMBER(FIND(MID($L18,19,1),"0123456789")),MID($L18,19,1),IF(ISNUMBER(FIND(MID($L18,19,1),"ABCDEFGHIJKLMNOPQRSTUVWXYZ")),CODE(MID($L18,19,1))-55,"#")))</f>
        <v/>
      </c>
      <c r="AG18" s="18" t="str">
        <f aca="false">IF(LEN($L18)&lt;20,"",IF(ISNUMBER(FIND(MID($L18,20,1),"0123456789")),MID($L18,20,1),IF(ISNUMBER(FIND(MID($L18,20,1),"ABCDEFGHIJKLMNOPQRSTUVWXYZ")),CODE(MID($L18,20,1))-55,"#")))</f>
        <v/>
      </c>
      <c r="AH18" s="18" t="str">
        <f aca="false">IF(LEN($L18)&lt;21,"",IF(ISNUMBER(FIND(MID($L18,21,1),"0123456789")),MID($L18,21,1),IF(ISNUMBER(FIND(MID($L18,21,1),"ABCDEFGHIJKLMNOPQRSTUVWXYZ")),CODE(MID($L18,21,1))-55,"#")))</f>
        <v/>
      </c>
      <c r="AI18" s="18" t="str">
        <f aca="false">IF(LEN($L18)&lt;22,"",IF(ISNUMBER(FIND(MID($L18,22,1),"0123456789")),MID($L18,22,1),IF(ISNUMBER(FIND(MID($L18,22,1),"ABCDEFGHIJKLMNOPQRSTUVWXYZ")),CODE(MID($L18,22,1))-55,"#")))</f>
        <v/>
      </c>
      <c r="AJ18" s="18" t="str">
        <f aca="false">IF(LEN($L18)&lt;23,"",IF(ISNUMBER(FIND(MID($L18,23,1),"0123456789")),MID($L18,23,1),IF(ISNUMBER(FIND(MID($L18,23,1),"ABCDEFGHIJKLMNOPQRSTUVWXYZ")),CODE(MID($L18,23,1))-55,"#")))</f>
        <v/>
      </c>
      <c r="AK18" s="18" t="str">
        <f aca="false">IF(LEN($L18)&lt;24,"",IF(ISNUMBER(FIND(MID($L18,24,1),"0123456789")),MID($L18,24,1),IF(ISNUMBER(FIND(MID($L18,24,1),"ABCDEFGHIJKLMNOPQRSTUVWXYZ")),CODE(MID($L18,24,1))-55,"#")))</f>
        <v/>
      </c>
      <c r="AL18" s="18" t="str">
        <f aca="false">IF(LEN($L18)&lt;25,"",IF(ISNUMBER(FIND(MID($L18,25,1),"0123456789")),MID($L18,25,1),IF(ISNUMBER(FIND(MID($L18,25,1),"ABCDEFGHIJKLMNOPQRSTUVWXYZ")),CODE(MID($L18,25,1))-55,"#")))</f>
        <v/>
      </c>
      <c r="AM18" s="18" t="str">
        <f aca="false">IF(LEN($L18)&lt;26,"",IF(ISNUMBER(FIND(MID($L18,26,1),"0123456789")),MID($L18,26,1),IF(ISNUMBER(FIND(MID($L18,26,1),"ABCDEFGHIJKLMNOPQRSTUVWXYZ")),CODE(MID($L18,26,1))-55,"#")))</f>
        <v/>
      </c>
      <c r="AN18" s="18" t="str">
        <f aca="false">IF(LEN($L18)&lt;27,"",IF(ISNUMBER(FIND(MID($L18,27,1),"0123456789")),MID($L18,27,1),IF(ISNUMBER(FIND(MID($L18,27,1),"ABCDEFGHIJKLMNOPQRSTUVWXYZ")),CODE(MID($L18,27,1))-55,"#")))</f>
        <v/>
      </c>
      <c r="AO18" s="18" t="str">
        <f aca="false">IF(LEN($L18)&lt;28,"",IF(ISNUMBER(FIND(MID($L18,28,1),"0123456789")),MID($L18,28,1),IF(ISNUMBER(FIND(MID($L18,28,1),"ABCDEFGHIJKLMNOPQRSTUVWXYZ")),CODE(MID($L18,28,1))-55,"#")))</f>
        <v/>
      </c>
      <c r="AP18" s="18" t="str">
        <f aca="false">IF(LEN($L18)&lt;29,"",IF(ISNUMBER(FIND(MID($L18,29,1),"0123456789")),MID($L18,29,1),IF(ISNUMBER(FIND(MID($L18,29,1),"ABCDEFGHIJKLMNOPQRSTUVWXYZ")),CODE(MID($L18,29,1))-55,"#")))</f>
        <v/>
      </c>
      <c r="AQ18" s="18" t="str">
        <f aca="false">IF(LEN($L18)&lt;30,"",IF(ISNUMBER(FIND(MID($L18,30,1),"0123456789")),MID($L18,30,1),IF(ISNUMBER(FIND(MID($L18,30,1),"ABCDEFGHIJKLMNOPQRSTUVWXYZ")),CODE(MID($L18,30,1))-55,"#")))</f>
        <v/>
      </c>
      <c r="AR18" s="18" t="str">
        <f aca="false">IF(LEN($L18)&lt;31,"",IF(ISNUMBER(FIND(MID($L18,31,1),"0123456789")),MID($L18,31,1),IF(ISNUMBER(FIND(MID($L18,31,1),"ABCDEFGHIJKLMNOPQRSTUVWXYZ")),CODE(MID($L18,31,1))-55,"#")))</f>
        <v/>
      </c>
      <c r="AS18" s="18" t="str">
        <f aca="false">IF(LEN($L18)&lt;32,"",IF(ISNUMBER(FIND(MID($L18,32,1),"0123456789")),MID($L18,32,1),IF(ISNUMBER(FIND(MID($L18,32,1),"ABCDEFGHIJKLMNOPQRSTUVWXYZ")),CODE(MID($L18,32,1))-55,"#")))</f>
        <v/>
      </c>
      <c r="AT18" s="18" t="str">
        <f aca="false">IF(LEN($L18)&lt;33,"",IF(ISNUMBER(FIND(MID($L18,33,1),"0123456789")),MID($L18,33,1),IF(ISNUMBER(FIND(MID($L18,33,1),"ABCDEFGHIJKLMNOPQRSTUVWXYZ")),CODE(MID($L18,33,1))-55,"#")))</f>
        <v/>
      </c>
      <c r="AU18" s="18" t="str">
        <f aca="false">IF(LEN($L18)&lt;34,"",IF(ISNUMBER(FIND(MID($L18,34,1),"0123456789")),MID($L18,34,1),IF(ISNUMBER(FIND(MID($L18,34,1),"ABCDEFGHIJKLMNOPQRSTUVWXYZ")),CODE(MID($L18,34,1))-55,"#")))</f>
        <v/>
      </c>
      <c r="AV18" s="18" t="str">
        <f aca="false">_xlfn.CONCAT(N18:AU18)</f>
        <v/>
      </c>
      <c r="AW18" s="18" t="str">
        <f aca="false">IF(OR(AV18="",M18=FALSE()),"",MOD(VALUE(MID(AV18,1,9)),97))</f>
        <v/>
      </c>
      <c r="AX18" s="18" t="str">
        <f aca="false">IF(AW18="","",MOD(VALUE(AW18&amp;MID(AV18,10,7)),97))</f>
        <v/>
      </c>
      <c r="AY18" s="18" t="str">
        <f aca="false">IF(AX18="","",MOD(VALUE(AX18&amp;MID(AV18,17,7)),97))</f>
        <v/>
      </c>
      <c r="AZ18" s="18" t="str">
        <f aca="false">IF(AY18="","",MOD(VALUE(AY18&amp;MID(AV18,24,7)),97))</f>
        <v/>
      </c>
      <c r="BA18" s="18" t="str">
        <f aca="false">IF(AZ18="","",MOD(VALUE(AZ18&amp;MID(AV18,31,7)),97))</f>
        <v/>
      </c>
      <c r="BB18" s="18" t="str">
        <f aca="false">IF(BA18="","",MOD(VALUE(BA18&amp;MID(AV18,38,7)),97))</f>
        <v/>
      </c>
      <c r="BC18" s="18" t="str">
        <f aca="false">IF(BB18="","",MOD(VALUE(BB18&amp;MID(AV18,45,7)),97))</f>
        <v/>
      </c>
      <c r="BD18" s="18" t="str">
        <f aca="false">IF(BC18="","",MOD(VALUE(BC18&amp;MID(AV18,52,7)),97))</f>
        <v/>
      </c>
      <c r="BE18" s="18" t="str">
        <f aca="false">IF(BD18="","",MOD(VALUE(BD18&amp;MID(AV18,59,7)),97))</f>
        <v/>
      </c>
      <c r="BF18" s="18" t="str">
        <f aca="false">IF(BE18="","",MOD(VALUE(BE18&amp;MID(AV18,66,7)),97))</f>
        <v/>
      </c>
    </row>
    <row r="19" customFormat="false" ht="15" hidden="false" customHeight="false" outlineLevel="0" collapsed="false">
      <c r="A19" s="11"/>
      <c r="B19" s="5" t="str">
        <f aca="false">UPPER(SUBSTITUTE(SUBSTITUTE(SUBSTITUTE(TRIM(A19)," ",""),"-",""),CHAR(160),""))</f>
        <v/>
      </c>
      <c r="C19" s="5" t="str">
        <f aca="false">IF(B19="","",LEN(B19))</f>
        <v/>
      </c>
      <c r="D19" s="5" t="str">
        <f aca="false">IF(B19="","",LEFT(B19,2))</f>
        <v/>
      </c>
      <c r="E19" s="5" t="str">
        <f aca="false">IF(B19="","",MID(B19,3,2))</f>
        <v/>
      </c>
      <c r="F19" s="5" t="str">
        <f aca="false">IF(B19="","",MID(B19,5,2))</f>
        <v/>
      </c>
      <c r="G19" s="5" t="str">
        <f aca="false">IF(B19="","",IFERROR(INDEX('رموز البنوك'!$C$5:$C$30,MATCH(F19,'رموز البنوك'!$B$5:$B$30,0)),"رمز غير معروف"))</f>
        <v/>
      </c>
      <c r="H19" s="5" t="str">
        <f aca="false">BF19</f>
        <v/>
      </c>
      <c r="I19" s="5" t="str">
        <f aca="false">IF(OR(H19="",NOT(AND(ISNUMBER(FIND(MID(B19,3,1),"0123456789")),ISNUMBER(FIND(MID(B19,4,1),"0123456789"))))),"",TEXT(98-MOD(H19-VALUE(E19),97),"00"))</f>
        <v/>
      </c>
      <c r="J19" s="4" t="str">
        <f aca="false">IF(B19="","",IF(LEFT(K19,10)="آيبان صحيح","صحيح ✓","غير صحيح ✗"))</f>
        <v/>
      </c>
      <c r="K19" s="10" t="str">
        <f aca="false">IF(B19="","",IF(M19=FALSE(),"يحتوي رموزاً غير مسموحة (المسموح A–Z و 0–9 فقط)",IF(D19&lt;&gt;"SA","رمز الدولة "&amp;D19&amp;" — هذا المدقق للآيبان السعودي SA",IF(C19&lt;&gt;24,"الطول "&amp;C19&amp;" خانة والمطلوب 24",IF(NOT(AND(ISNUMBER(FIND(MID(B19,3,1),"0123456789")),ISNUMBER(FIND(MID(B19,4,1),"0123456789")))),"خانتا التدقيق يجب أن تكونا رقمين",IF(ISERROR(VALUE(MID(B19,5,20))),"رمز البنك ورقم الحساب يجب أن يكونا أرقاماً",IF(H19&lt;&gt;1,"فشل اختبار MOD-97 (الباقي "&amp;H19&amp;" وليس 1) — خطأ في كتابة الرقم؛ خانتا التدقيق الصحيحتان لهذا الحساب "&amp;I19,IF(G19="رمز غير معروف","اجتاز MOD-97 لكن رمز البنك "&amp;F19&amp;" غير مسجل في جدول البنوك","آيبان صحيح — "&amp;G19))))))))</f>
        <v/>
      </c>
      <c r="L19" s="18" t="str">
        <f aca="false">IF(B19="","",MID(B19,5,40)&amp;LEFT(B19,4))</f>
        <v/>
      </c>
      <c r="M19" s="18" t="str">
        <f aca="false">IF(L19="","",NOT(ISNUMBER(FIND("#",AV19))))</f>
        <v/>
      </c>
      <c r="N19" s="18" t="str">
        <f aca="false">IF(LEN($L19)&lt;1,"",IF(ISNUMBER(FIND(MID($L19,1,1),"0123456789")),MID($L19,1,1),IF(ISNUMBER(FIND(MID($L19,1,1),"ABCDEFGHIJKLMNOPQRSTUVWXYZ")),CODE(MID($L19,1,1))-55,"#")))</f>
        <v/>
      </c>
      <c r="O19" s="18" t="str">
        <f aca="false">IF(LEN($L19)&lt;2,"",IF(ISNUMBER(FIND(MID($L19,2,1),"0123456789")),MID($L19,2,1),IF(ISNUMBER(FIND(MID($L19,2,1),"ABCDEFGHIJKLMNOPQRSTUVWXYZ")),CODE(MID($L19,2,1))-55,"#")))</f>
        <v/>
      </c>
      <c r="P19" s="18" t="str">
        <f aca="false">IF(LEN($L19)&lt;3,"",IF(ISNUMBER(FIND(MID($L19,3,1),"0123456789")),MID($L19,3,1),IF(ISNUMBER(FIND(MID($L19,3,1),"ABCDEFGHIJKLMNOPQRSTUVWXYZ")),CODE(MID($L19,3,1))-55,"#")))</f>
        <v/>
      </c>
      <c r="Q19" s="18" t="str">
        <f aca="false">IF(LEN($L19)&lt;4,"",IF(ISNUMBER(FIND(MID($L19,4,1),"0123456789")),MID($L19,4,1),IF(ISNUMBER(FIND(MID($L19,4,1),"ABCDEFGHIJKLMNOPQRSTUVWXYZ")),CODE(MID($L19,4,1))-55,"#")))</f>
        <v/>
      </c>
      <c r="R19" s="18" t="str">
        <f aca="false">IF(LEN($L19)&lt;5,"",IF(ISNUMBER(FIND(MID($L19,5,1),"0123456789")),MID($L19,5,1),IF(ISNUMBER(FIND(MID($L19,5,1),"ABCDEFGHIJKLMNOPQRSTUVWXYZ")),CODE(MID($L19,5,1))-55,"#")))</f>
        <v/>
      </c>
      <c r="S19" s="18" t="str">
        <f aca="false">IF(LEN($L19)&lt;6,"",IF(ISNUMBER(FIND(MID($L19,6,1),"0123456789")),MID($L19,6,1),IF(ISNUMBER(FIND(MID($L19,6,1),"ABCDEFGHIJKLMNOPQRSTUVWXYZ")),CODE(MID($L19,6,1))-55,"#")))</f>
        <v/>
      </c>
      <c r="T19" s="18" t="str">
        <f aca="false">IF(LEN($L19)&lt;7,"",IF(ISNUMBER(FIND(MID($L19,7,1),"0123456789")),MID($L19,7,1),IF(ISNUMBER(FIND(MID($L19,7,1),"ABCDEFGHIJKLMNOPQRSTUVWXYZ")),CODE(MID($L19,7,1))-55,"#")))</f>
        <v/>
      </c>
      <c r="U19" s="18" t="str">
        <f aca="false">IF(LEN($L19)&lt;8,"",IF(ISNUMBER(FIND(MID($L19,8,1),"0123456789")),MID($L19,8,1),IF(ISNUMBER(FIND(MID($L19,8,1),"ABCDEFGHIJKLMNOPQRSTUVWXYZ")),CODE(MID($L19,8,1))-55,"#")))</f>
        <v/>
      </c>
      <c r="V19" s="18" t="str">
        <f aca="false">IF(LEN($L19)&lt;9,"",IF(ISNUMBER(FIND(MID($L19,9,1),"0123456789")),MID($L19,9,1),IF(ISNUMBER(FIND(MID($L19,9,1),"ABCDEFGHIJKLMNOPQRSTUVWXYZ")),CODE(MID($L19,9,1))-55,"#")))</f>
        <v/>
      </c>
      <c r="W19" s="18" t="str">
        <f aca="false">IF(LEN($L19)&lt;10,"",IF(ISNUMBER(FIND(MID($L19,10,1),"0123456789")),MID($L19,10,1),IF(ISNUMBER(FIND(MID($L19,10,1),"ABCDEFGHIJKLMNOPQRSTUVWXYZ")),CODE(MID($L19,10,1))-55,"#")))</f>
        <v/>
      </c>
      <c r="X19" s="18" t="str">
        <f aca="false">IF(LEN($L19)&lt;11,"",IF(ISNUMBER(FIND(MID($L19,11,1),"0123456789")),MID($L19,11,1),IF(ISNUMBER(FIND(MID($L19,11,1),"ABCDEFGHIJKLMNOPQRSTUVWXYZ")),CODE(MID($L19,11,1))-55,"#")))</f>
        <v/>
      </c>
      <c r="Y19" s="18" t="str">
        <f aca="false">IF(LEN($L19)&lt;12,"",IF(ISNUMBER(FIND(MID($L19,12,1),"0123456789")),MID($L19,12,1),IF(ISNUMBER(FIND(MID($L19,12,1),"ABCDEFGHIJKLMNOPQRSTUVWXYZ")),CODE(MID($L19,12,1))-55,"#")))</f>
        <v/>
      </c>
      <c r="Z19" s="18" t="str">
        <f aca="false">IF(LEN($L19)&lt;13,"",IF(ISNUMBER(FIND(MID($L19,13,1),"0123456789")),MID($L19,13,1),IF(ISNUMBER(FIND(MID($L19,13,1),"ABCDEFGHIJKLMNOPQRSTUVWXYZ")),CODE(MID($L19,13,1))-55,"#")))</f>
        <v/>
      </c>
      <c r="AA19" s="18" t="str">
        <f aca="false">IF(LEN($L19)&lt;14,"",IF(ISNUMBER(FIND(MID($L19,14,1),"0123456789")),MID($L19,14,1),IF(ISNUMBER(FIND(MID($L19,14,1),"ABCDEFGHIJKLMNOPQRSTUVWXYZ")),CODE(MID($L19,14,1))-55,"#")))</f>
        <v/>
      </c>
      <c r="AB19" s="18" t="str">
        <f aca="false">IF(LEN($L19)&lt;15,"",IF(ISNUMBER(FIND(MID($L19,15,1),"0123456789")),MID($L19,15,1),IF(ISNUMBER(FIND(MID($L19,15,1),"ABCDEFGHIJKLMNOPQRSTUVWXYZ")),CODE(MID($L19,15,1))-55,"#")))</f>
        <v/>
      </c>
      <c r="AC19" s="18" t="str">
        <f aca="false">IF(LEN($L19)&lt;16,"",IF(ISNUMBER(FIND(MID($L19,16,1),"0123456789")),MID($L19,16,1),IF(ISNUMBER(FIND(MID($L19,16,1),"ABCDEFGHIJKLMNOPQRSTUVWXYZ")),CODE(MID($L19,16,1))-55,"#")))</f>
        <v/>
      </c>
      <c r="AD19" s="18" t="str">
        <f aca="false">IF(LEN($L19)&lt;17,"",IF(ISNUMBER(FIND(MID($L19,17,1),"0123456789")),MID($L19,17,1),IF(ISNUMBER(FIND(MID($L19,17,1),"ABCDEFGHIJKLMNOPQRSTUVWXYZ")),CODE(MID($L19,17,1))-55,"#")))</f>
        <v/>
      </c>
      <c r="AE19" s="18" t="str">
        <f aca="false">IF(LEN($L19)&lt;18,"",IF(ISNUMBER(FIND(MID($L19,18,1),"0123456789")),MID($L19,18,1),IF(ISNUMBER(FIND(MID($L19,18,1),"ABCDEFGHIJKLMNOPQRSTUVWXYZ")),CODE(MID($L19,18,1))-55,"#")))</f>
        <v/>
      </c>
      <c r="AF19" s="18" t="str">
        <f aca="false">IF(LEN($L19)&lt;19,"",IF(ISNUMBER(FIND(MID($L19,19,1),"0123456789")),MID($L19,19,1),IF(ISNUMBER(FIND(MID($L19,19,1),"ABCDEFGHIJKLMNOPQRSTUVWXYZ")),CODE(MID($L19,19,1))-55,"#")))</f>
        <v/>
      </c>
      <c r="AG19" s="18" t="str">
        <f aca="false">IF(LEN($L19)&lt;20,"",IF(ISNUMBER(FIND(MID($L19,20,1),"0123456789")),MID($L19,20,1),IF(ISNUMBER(FIND(MID($L19,20,1),"ABCDEFGHIJKLMNOPQRSTUVWXYZ")),CODE(MID($L19,20,1))-55,"#")))</f>
        <v/>
      </c>
      <c r="AH19" s="18" t="str">
        <f aca="false">IF(LEN($L19)&lt;21,"",IF(ISNUMBER(FIND(MID($L19,21,1),"0123456789")),MID($L19,21,1),IF(ISNUMBER(FIND(MID($L19,21,1),"ABCDEFGHIJKLMNOPQRSTUVWXYZ")),CODE(MID($L19,21,1))-55,"#")))</f>
        <v/>
      </c>
      <c r="AI19" s="18" t="str">
        <f aca="false">IF(LEN($L19)&lt;22,"",IF(ISNUMBER(FIND(MID($L19,22,1),"0123456789")),MID($L19,22,1),IF(ISNUMBER(FIND(MID($L19,22,1),"ABCDEFGHIJKLMNOPQRSTUVWXYZ")),CODE(MID($L19,22,1))-55,"#")))</f>
        <v/>
      </c>
      <c r="AJ19" s="18" t="str">
        <f aca="false">IF(LEN($L19)&lt;23,"",IF(ISNUMBER(FIND(MID($L19,23,1),"0123456789")),MID($L19,23,1),IF(ISNUMBER(FIND(MID($L19,23,1),"ABCDEFGHIJKLMNOPQRSTUVWXYZ")),CODE(MID($L19,23,1))-55,"#")))</f>
        <v/>
      </c>
      <c r="AK19" s="18" t="str">
        <f aca="false">IF(LEN($L19)&lt;24,"",IF(ISNUMBER(FIND(MID($L19,24,1),"0123456789")),MID($L19,24,1),IF(ISNUMBER(FIND(MID($L19,24,1),"ABCDEFGHIJKLMNOPQRSTUVWXYZ")),CODE(MID($L19,24,1))-55,"#")))</f>
        <v/>
      </c>
      <c r="AL19" s="18" t="str">
        <f aca="false">IF(LEN($L19)&lt;25,"",IF(ISNUMBER(FIND(MID($L19,25,1),"0123456789")),MID($L19,25,1),IF(ISNUMBER(FIND(MID($L19,25,1),"ABCDEFGHIJKLMNOPQRSTUVWXYZ")),CODE(MID($L19,25,1))-55,"#")))</f>
        <v/>
      </c>
      <c r="AM19" s="18" t="str">
        <f aca="false">IF(LEN($L19)&lt;26,"",IF(ISNUMBER(FIND(MID($L19,26,1),"0123456789")),MID($L19,26,1),IF(ISNUMBER(FIND(MID($L19,26,1),"ABCDEFGHIJKLMNOPQRSTUVWXYZ")),CODE(MID($L19,26,1))-55,"#")))</f>
        <v/>
      </c>
      <c r="AN19" s="18" t="str">
        <f aca="false">IF(LEN($L19)&lt;27,"",IF(ISNUMBER(FIND(MID($L19,27,1),"0123456789")),MID($L19,27,1),IF(ISNUMBER(FIND(MID($L19,27,1),"ABCDEFGHIJKLMNOPQRSTUVWXYZ")),CODE(MID($L19,27,1))-55,"#")))</f>
        <v/>
      </c>
      <c r="AO19" s="18" t="str">
        <f aca="false">IF(LEN($L19)&lt;28,"",IF(ISNUMBER(FIND(MID($L19,28,1),"0123456789")),MID($L19,28,1),IF(ISNUMBER(FIND(MID($L19,28,1),"ABCDEFGHIJKLMNOPQRSTUVWXYZ")),CODE(MID($L19,28,1))-55,"#")))</f>
        <v/>
      </c>
      <c r="AP19" s="18" t="str">
        <f aca="false">IF(LEN($L19)&lt;29,"",IF(ISNUMBER(FIND(MID($L19,29,1),"0123456789")),MID($L19,29,1),IF(ISNUMBER(FIND(MID($L19,29,1),"ABCDEFGHIJKLMNOPQRSTUVWXYZ")),CODE(MID($L19,29,1))-55,"#")))</f>
        <v/>
      </c>
      <c r="AQ19" s="18" t="str">
        <f aca="false">IF(LEN($L19)&lt;30,"",IF(ISNUMBER(FIND(MID($L19,30,1),"0123456789")),MID($L19,30,1),IF(ISNUMBER(FIND(MID($L19,30,1),"ABCDEFGHIJKLMNOPQRSTUVWXYZ")),CODE(MID($L19,30,1))-55,"#")))</f>
        <v/>
      </c>
      <c r="AR19" s="18" t="str">
        <f aca="false">IF(LEN($L19)&lt;31,"",IF(ISNUMBER(FIND(MID($L19,31,1),"0123456789")),MID($L19,31,1),IF(ISNUMBER(FIND(MID($L19,31,1),"ABCDEFGHIJKLMNOPQRSTUVWXYZ")),CODE(MID($L19,31,1))-55,"#")))</f>
        <v/>
      </c>
      <c r="AS19" s="18" t="str">
        <f aca="false">IF(LEN($L19)&lt;32,"",IF(ISNUMBER(FIND(MID($L19,32,1),"0123456789")),MID($L19,32,1),IF(ISNUMBER(FIND(MID($L19,32,1),"ABCDEFGHIJKLMNOPQRSTUVWXYZ")),CODE(MID($L19,32,1))-55,"#")))</f>
        <v/>
      </c>
      <c r="AT19" s="18" t="str">
        <f aca="false">IF(LEN($L19)&lt;33,"",IF(ISNUMBER(FIND(MID($L19,33,1),"0123456789")),MID($L19,33,1),IF(ISNUMBER(FIND(MID($L19,33,1),"ABCDEFGHIJKLMNOPQRSTUVWXYZ")),CODE(MID($L19,33,1))-55,"#")))</f>
        <v/>
      </c>
      <c r="AU19" s="18" t="str">
        <f aca="false">IF(LEN($L19)&lt;34,"",IF(ISNUMBER(FIND(MID($L19,34,1),"0123456789")),MID($L19,34,1),IF(ISNUMBER(FIND(MID($L19,34,1),"ABCDEFGHIJKLMNOPQRSTUVWXYZ")),CODE(MID($L19,34,1))-55,"#")))</f>
        <v/>
      </c>
      <c r="AV19" s="18" t="str">
        <f aca="false">_xlfn.CONCAT(N19:AU19)</f>
        <v/>
      </c>
      <c r="AW19" s="18" t="str">
        <f aca="false">IF(OR(AV19="",M19=FALSE()),"",MOD(VALUE(MID(AV19,1,9)),97))</f>
        <v/>
      </c>
      <c r="AX19" s="18" t="str">
        <f aca="false">IF(AW19="","",MOD(VALUE(AW19&amp;MID(AV19,10,7)),97))</f>
        <v/>
      </c>
      <c r="AY19" s="18" t="str">
        <f aca="false">IF(AX19="","",MOD(VALUE(AX19&amp;MID(AV19,17,7)),97))</f>
        <v/>
      </c>
      <c r="AZ19" s="18" t="str">
        <f aca="false">IF(AY19="","",MOD(VALUE(AY19&amp;MID(AV19,24,7)),97))</f>
        <v/>
      </c>
      <c r="BA19" s="18" t="str">
        <f aca="false">IF(AZ19="","",MOD(VALUE(AZ19&amp;MID(AV19,31,7)),97))</f>
        <v/>
      </c>
      <c r="BB19" s="18" t="str">
        <f aca="false">IF(BA19="","",MOD(VALUE(BA19&amp;MID(AV19,38,7)),97))</f>
        <v/>
      </c>
      <c r="BC19" s="18" t="str">
        <f aca="false">IF(BB19="","",MOD(VALUE(BB19&amp;MID(AV19,45,7)),97))</f>
        <v/>
      </c>
      <c r="BD19" s="18" t="str">
        <f aca="false">IF(BC19="","",MOD(VALUE(BC19&amp;MID(AV19,52,7)),97))</f>
        <v/>
      </c>
      <c r="BE19" s="18" t="str">
        <f aca="false">IF(BD19="","",MOD(VALUE(BD19&amp;MID(AV19,59,7)),97))</f>
        <v/>
      </c>
      <c r="BF19" s="18" t="str">
        <f aca="false">IF(BE19="","",MOD(VALUE(BE19&amp;MID(AV19,66,7)),97))</f>
        <v/>
      </c>
    </row>
    <row r="20" customFormat="false" ht="15" hidden="false" customHeight="false" outlineLevel="0" collapsed="false">
      <c r="A20" s="11"/>
      <c r="B20" s="5" t="str">
        <f aca="false">UPPER(SUBSTITUTE(SUBSTITUTE(SUBSTITUTE(TRIM(A20)," ",""),"-",""),CHAR(160),""))</f>
        <v/>
      </c>
      <c r="C20" s="5" t="str">
        <f aca="false">IF(B20="","",LEN(B20))</f>
        <v/>
      </c>
      <c r="D20" s="5" t="str">
        <f aca="false">IF(B20="","",LEFT(B20,2))</f>
        <v/>
      </c>
      <c r="E20" s="5" t="str">
        <f aca="false">IF(B20="","",MID(B20,3,2))</f>
        <v/>
      </c>
      <c r="F20" s="5" t="str">
        <f aca="false">IF(B20="","",MID(B20,5,2))</f>
        <v/>
      </c>
      <c r="G20" s="5" t="str">
        <f aca="false">IF(B20="","",IFERROR(INDEX('رموز البنوك'!$C$5:$C$30,MATCH(F20,'رموز البنوك'!$B$5:$B$30,0)),"رمز غير معروف"))</f>
        <v/>
      </c>
      <c r="H20" s="5" t="str">
        <f aca="false">BF20</f>
        <v/>
      </c>
      <c r="I20" s="5" t="str">
        <f aca="false">IF(OR(H20="",NOT(AND(ISNUMBER(FIND(MID(B20,3,1),"0123456789")),ISNUMBER(FIND(MID(B20,4,1),"0123456789"))))),"",TEXT(98-MOD(H20-VALUE(E20),97),"00"))</f>
        <v/>
      </c>
      <c r="J20" s="4" t="str">
        <f aca="false">IF(B20="","",IF(LEFT(K20,10)="آيبان صحيح","صحيح ✓","غير صحيح ✗"))</f>
        <v/>
      </c>
      <c r="K20" s="10" t="str">
        <f aca="false">IF(B20="","",IF(M20=FALSE(),"يحتوي رموزاً غير مسموحة (المسموح A–Z و 0–9 فقط)",IF(D20&lt;&gt;"SA","رمز الدولة "&amp;D20&amp;" — هذا المدقق للآيبان السعودي SA",IF(C20&lt;&gt;24,"الطول "&amp;C20&amp;" خانة والمطلوب 24",IF(NOT(AND(ISNUMBER(FIND(MID(B20,3,1),"0123456789")),ISNUMBER(FIND(MID(B20,4,1),"0123456789")))),"خانتا التدقيق يجب أن تكونا رقمين",IF(ISERROR(VALUE(MID(B20,5,20))),"رمز البنك ورقم الحساب يجب أن يكونا أرقاماً",IF(H20&lt;&gt;1,"فشل اختبار MOD-97 (الباقي "&amp;H20&amp;" وليس 1) — خطأ في كتابة الرقم؛ خانتا التدقيق الصحيحتان لهذا الحساب "&amp;I20,IF(G20="رمز غير معروف","اجتاز MOD-97 لكن رمز البنك "&amp;F20&amp;" غير مسجل في جدول البنوك","آيبان صحيح — "&amp;G20))))))))</f>
        <v/>
      </c>
      <c r="L20" s="18" t="str">
        <f aca="false">IF(B20="","",MID(B20,5,40)&amp;LEFT(B20,4))</f>
        <v/>
      </c>
      <c r="M20" s="18" t="str">
        <f aca="false">IF(L20="","",NOT(ISNUMBER(FIND("#",AV20))))</f>
        <v/>
      </c>
      <c r="N20" s="18" t="str">
        <f aca="false">IF(LEN($L20)&lt;1,"",IF(ISNUMBER(FIND(MID($L20,1,1),"0123456789")),MID($L20,1,1),IF(ISNUMBER(FIND(MID($L20,1,1),"ABCDEFGHIJKLMNOPQRSTUVWXYZ")),CODE(MID($L20,1,1))-55,"#")))</f>
        <v/>
      </c>
      <c r="O20" s="18" t="str">
        <f aca="false">IF(LEN($L20)&lt;2,"",IF(ISNUMBER(FIND(MID($L20,2,1),"0123456789")),MID($L20,2,1),IF(ISNUMBER(FIND(MID($L20,2,1),"ABCDEFGHIJKLMNOPQRSTUVWXYZ")),CODE(MID($L20,2,1))-55,"#")))</f>
        <v/>
      </c>
      <c r="P20" s="18" t="str">
        <f aca="false">IF(LEN($L20)&lt;3,"",IF(ISNUMBER(FIND(MID($L20,3,1),"0123456789")),MID($L20,3,1),IF(ISNUMBER(FIND(MID($L20,3,1),"ABCDEFGHIJKLMNOPQRSTUVWXYZ")),CODE(MID($L20,3,1))-55,"#")))</f>
        <v/>
      </c>
      <c r="Q20" s="18" t="str">
        <f aca="false">IF(LEN($L20)&lt;4,"",IF(ISNUMBER(FIND(MID($L20,4,1),"0123456789")),MID($L20,4,1),IF(ISNUMBER(FIND(MID($L20,4,1),"ABCDEFGHIJKLMNOPQRSTUVWXYZ")),CODE(MID($L20,4,1))-55,"#")))</f>
        <v/>
      </c>
      <c r="R20" s="18" t="str">
        <f aca="false">IF(LEN($L20)&lt;5,"",IF(ISNUMBER(FIND(MID($L20,5,1),"0123456789")),MID($L20,5,1),IF(ISNUMBER(FIND(MID($L20,5,1),"ABCDEFGHIJKLMNOPQRSTUVWXYZ")),CODE(MID($L20,5,1))-55,"#")))</f>
        <v/>
      </c>
      <c r="S20" s="18" t="str">
        <f aca="false">IF(LEN($L20)&lt;6,"",IF(ISNUMBER(FIND(MID($L20,6,1),"0123456789")),MID($L20,6,1),IF(ISNUMBER(FIND(MID($L20,6,1),"ABCDEFGHIJKLMNOPQRSTUVWXYZ")),CODE(MID($L20,6,1))-55,"#")))</f>
        <v/>
      </c>
      <c r="T20" s="18" t="str">
        <f aca="false">IF(LEN($L20)&lt;7,"",IF(ISNUMBER(FIND(MID($L20,7,1),"0123456789")),MID($L20,7,1),IF(ISNUMBER(FIND(MID($L20,7,1),"ABCDEFGHIJKLMNOPQRSTUVWXYZ")),CODE(MID($L20,7,1))-55,"#")))</f>
        <v/>
      </c>
      <c r="U20" s="18" t="str">
        <f aca="false">IF(LEN($L20)&lt;8,"",IF(ISNUMBER(FIND(MID($L20,8,1),"0123456789")),MID($L20,8,1),IF(ISNUMBER(FIND(MID($L20,8,1),"ABCDEFGHIJKLMNOPQRSTUVWXYZ")),CODE(MID($L20,8,1))-55,"#")))</f>
        <v/>
      </c>
      <c r="V20" s="18" t="str">
        <f aca="false">IF(LEN($L20)&lt;9,"",IF(ISNUMBER(FIND(MID($L20,9,1),"0123456789")),MID($L20,9,1),IF(ISNUMBER(FIND(MID($L20,9,1),"ABCDEFGHIJKLMNOPQRSTUVWXYZ")),CODE(MID($L20,9,1))-55,"#")))</f>
        <v/>
      </c>
      <c r="W20" s="18" t="str">
        <f aca="false">IF(LEN($L20)&lt;10,"",IF(ISNUMBER(FIND(MID($L20,10,1),"0123456789")),MID($L20,10,1),IF(ISNUMBER(FIND(MID($L20,10,1),"ABCDEFGHIJKLMNOPQRSTUVWXYZ")),CODE(MID($L20,10,1))-55,"#")))</f>
        <v/>
      </c>
      <c r="X20" s="18" t="str">
        <f aca="false">IF(LEN($L20)&lt;11,"",IF(ISNUMBER(FIND(MID($L20,11,1),"0123456789")),MID($L20,11,1),IF(ISNUMBER(FIND(MID($L20,11,1),"ABCDEFGHIJKLMNOPQRSTUVWXYZ")),CODE(MID($L20,11,1))-55,"#")))</f>
        <v/>
      </c>
      <c r="Y20" s="18" t="str">
        <f aca="false">IF(LEN($L20)&lt;12,"",IF(ISNUMBER(FIND(MID($L20,12,1),"0123456789")),MID($L20,12,1),IF(ISNUMBER(FIND(MID($L20,12,1),"ABCDEFGHIJKLMNOPQRSTUVWXYZ")),CODE(MID($L20,12,1))-55,"#")))</f>
        <v/>
      </c>
      <c r="Z20" s="18" t="str">
        <f aca="false">IF(LEN($L20)&lt;13,"",IF(ISNUMBER(FIND(MID($L20,13,1),"0123456789")),MID($L20,13,1),IF(ISNUMBER(FIND(MID($L20,13,1),"ABCDEFGHIJKLMNOPQRSTUVWXYZ")),CODE(MID($L20,13,1))-55,"#")))</f>
        <v/>
      </c>
      <c r="AA20" s="18" t="str">
        <f aca="false">IF(LEN($L20)&lt;14,"",IF(ISNUMBER(FIND(MID($L20,14,1),"0123456789")),MID($L20,14,1),IF(ISNUMBER(FIND(MID($L20,14,1),"ABCDEFGHIJKLMNOPQRSTUVWXYZ")),CODE(MID($L20,14,1))-55,"#")))</f>
        <v/>
      </c>
      <c r="AB20" s="18" t="str">
        <f aca="false">IF(LEN($L20)&lt;15,"",IF(ISNUMBER(FIND(MID($L20,15,1),"0123456789")),MID($L20,15,1),IF(ISNUMBER(FIND(MID($L20,15,1),"ABCDEFGHIJKLMNOPQRSTUVWXYZ")),CODE(MID($L20,15,1))-55,"#")))</f>
        <v/>
      </c>
      <c r="AC20" s="18" t="str">
        <f aca="false">IF(LEN($L20)&lt;16,"",IF(ISNUMBER(FIND(MID($L20,16,1),"0123456789")),MID($L20,16,1),IF(ISNUMBER(FIND(MID($L20,16,1),"ABCDEFGHIJKLMNOPQRSTUVWXYZ")),CODE(MID($L20,16,1))-55,"#")))</f>
        <v/>
      </c>
      <c r="AD20" s="18" t="str">
        <f aca="false">IF(LEN($L20)&lt;17,"",IF(ISNUMBER(FIND(MID($L20,17,1),"0123456789")),MID($L20,17,1),IF(ISNUMBER(FIND(MID($L20,17,1),"ABCDEFGHIJKLMNOPQRSTUVWXYZ")),CODE(MID($L20,17,1))-55,"#")))</f>
        <v/>
      </c>
      <c r="AE20" s="18" t="str">
        <f aca="false">IF(LEN($L20)&lt;18,"",IF(ISNUMBER(FIND(MID($L20,18,1),"0123456789")),MID($L20,18,1),IF(ISNUMBER(FIND(MID($L20,18,1),"ABCDEFGHIJKLMNOPQRSTUVWXYZ")),CODE(MID($L20,18,1))-55,"#")))</f>
        <v/>
      </c>
      <c r="AF20" s="18" t="str">
        <f aca="false">IF(LEN($L20)&lt;19,"",IF(ISNUMBER(FIND(MID($L20,19,1),"0123456789")),MID($L20,19,1),IF(ISNUMBER(FIND(MID($L20,19,1),"ABCDEFGHIJKLMNOPQRSTUVWXYZ")),CODE(MID($L20,19,1))-55,"#")))</f>
        <v/>
      </c>
      <c r="AG20" s="18" t="str">
        <f aca="false">IF(LEN($L20)&lt;20,"",IF(ISNUMBER(FIND(MID($L20,20,1),"0123456789")),MID($L20,20,1),IF(ISNUMBER(FIND(MID($L20,20,1),"ABCDEFGHIJKLMNOPQRSTUVWXYZ")),CODE(MID($L20,20,1))-55,"#")))</f>
        <v/>
      </c>
      <c r="AH20" s="18" t="str">
        <f aca="false">IF(LEN($L20)&lt;21,"",IF(ISNUMBER(FIND(MID($L20,21,1),"0123456789")),MID($L20,21,1),IF(ISNUMBER(FIND(MID($L20,21,1),"ABCDEFGHIJKLMNOPQRSTUVWXYZ")),CODE(MID($L20,21,1))-55,"#")))</f>
        <v/>
      </c>
      <c r="AI20" s="18" t="str">
        <f aca="false">IF(LEN($L20)&lt;22,"",IF(ISNUMBER(FIND(MID($L20,22,1),"0123456789")),MID($L20,22,1),IF(ISNUMBER(FIND(MID($L20,22,1),"ABCDEFGHIJKLMNOPQRSTUVWXYZ")),CODE(MID($L20,22,1))-55,"#")))</f>
        <v/>
      </c>
      <c r="AJ20" s="18" t="str">
        <f aca="false">IF(LEN($L20)&lt;23,"",IF(ISNUMBER(FIND(MID($L20,23,1),"0123456789")),MID($L20,23,1),IF(ISNUMBER(FIND(MID($L20,23,1),"ABCDEFGHIJKLMNOPQRSTUVWXYZ")),CODE(MID($L20,23,1))-55,"#")))</f>
        <v/>
      </c>
      <c r="AK20" s="18" t="str">
        <f aca="false">IF(LEN($L20)&lt;24,"",IF(ISNUMBER(FIND(MID($L20,24,1),"0123456789")),MID($L20,24,1),IF(ISNUMBER(FIND(MID($L20,24,1),"ABCDEFGHIJKLMNOPQRSTUVWXYZ")),CODE(MID($L20,24,1))-55,"#")))</f>
        <v/>
      </c>
      <c r="AL20" s="18" t="str">
        <f aca="false">IF(LEN($L20)&lt;25,"",IF(ISNUMBER(FIND(MID($L20,25,1),"0123456789")),MID($L20,25,1),IF(ISNUMBER(FIND(MID($L20,25,1),"ABCDEFGHIJKLMNOPQRSTUVWXYZ")),CODE(MID($L20,25,1))-55,"#")))</f>
        <v/>
      </c>
      <c r="AM20" s="18" t="str">
        <f aca="false">IF(LEN($L20)&lt;26,"",IF(ISNUMBER(FIND(MID($L20,26,1),"0123456789")),MID($L20,26,1),IF(ISNUMBER(FIND(MID($L20,26,1),"ABCDEFGHIJKLMNOPQRSTUVWXYZ")),CODE(MID($L20,26,1))-55,"#")))</f>
        <v/>
      </c>
      <c r="AN20" s="18" t="str">
        <f aca="false">IF(LEN($L20)&lt;27,"",IF(ISNUMBER(FIND(MID($L20,27,1),"0123456789")),MID($L20,27,1),IF(ISNUMBER(FIND(MID($L20,27,1),"ABCDEFGHIJKLMNOPQRSTUVWXYZ")),CODE(MID($L20,27,1))-55,"#")))</f>
        <v/>
      </c>
      <c r="AO20" s="18" t="str">
        <f aca="false">IF(LEN($L20)&lt;28,"",IF(ISNUMBER(FIND(MID($L20,28,1),"0123456789")),MID($L20,28,1),IF(ISNUMBER(FIND(MID($L20,28,1),"ABCDEFGHIJKLMNOPQRSTUVWXYZ")),CODE(MID($L20,28,1))-55,"#")))</f>
        <v/>
      </c>
      <c r="AP20" s="18" t="str">
        <f aca="false">IF(LEN($L20)&lt;29,"",IF(ISNUMBER(FIND(MID($L20,29,1),"0123456789")),MID($L20,29,1),IF(ISNUMBER(FIND(MID($L20,29,1),"ABCDEFGHIJKLMNOPQRSTUVWXYZ")),CODE(MID($L20,29,1))-55,"#")))</f>
        <v/>
      </c>
      <c r="AQ20" s="18" t="str">
        <f aca="false">IF(LEN($L20)&lt;30,"",IF(ISNUMBER(FIND(MID($L20,30,1),"0123456789")),MID($L20,30,1),IF(ISNUMBER(FIND(MID($L20,30,1),"ABCDEFGHIJKLMNOPQRSTUVWXYZ")),CODE(MID($L20,30,1))-55,"#")))</f>
        <v/>
      </c>
      <c r="AR20" s="18" t="str">
        <f aca="false">IF(LEN($L20)&lt;31,"",IF(ISNUMBER(FIND(MID($L20,31,1),"0123456789")),MID($L20,31,1),IF(ISNUMBER(FIND(MID($L20,31,1),"ABCDEFGHIJKLMNOPQRSTUVWXYZ")),CODE(MID($L20,31,1))-55,"#")))</f>
        <v/>
      </c>
      <c r="AS20" s="18" t="str">
        <f aca="false">IF(LEN($L20)&lt;32,"",IF(ISNUMBER(FIND(MID($L20,32,1),"0123456789")),MID($L20,32,1),IF(ISNUMBER(FIND(MID($L20,32,1),"ABCDEFGHIJKLMNOPQRSTUVWXYZ")),CODE(MID($L20,32,1))-55,"#")))</f>
        <v/>
      </c>
      <c r="AT20" s="18" t="str">
        <f aca="false">IF(LEN($L20)&lt;33,"",IF(ISNUMBER(FIND(MID($L20,33,1),"0123456789")),MID($L20,33,1),IF(ISNUMBER(FIND(MID($L20,33,1),"ABCDEFGHIJKLMNOPQRSTUVWXYZ")),CODE(MID($L20,33,1))-55,"#")))</f>
        <v/>
      </c>
      <c r="AU20" s="18" t="str">
        <f aca="false">IF(LEN($L20)&lt;34,"",IF(ISNUMBER(FIND(MID($L20,34,1),"0123456789")),MID($L20,34,1),IF(ISNUMBER(FIND(MID($L20,34,1),"ABCDEFGHIJKLMNOPQRSTUVWXYZ")),CODE(MID($L20,34,1))-55,"#")))</f>
        <v/>
      </c>
      <c r="AV20" s="18" t="str">
        <f aca="false">_xlfn.CONCAT(N20:AU20)</f>
        <v/>
      </c>
      <c r="AW20" s="18" t="str">
        <f aca="false">IF(OR(AV20="",M20=FALSE()),"",MOD(VALUE(MID(AV20,1,9)),97))</f>
        <v/>
      </c>
      <c r="AX20" s="18" t="str">
        <f aca="false">IF(AW20="","",MOD(VALUE(AW20&amp;MID(AV20,10,7)),97))</f>
        <v/>
      </c>
      <c r="AY20" s="18" t="str">
        <f aca="false">IF(AX20="","",MOD(VALUE(AX20&amp;MID(AV20,17,7)),97))</f>
        <v/>
      </c>
      <c r="AZ20" s="18" t="str">
        <f aca="false">IF(AY20="","",MOD(VALUE(AY20&amp;MID(AV20,24,7)),97))</f>
        <v/>
      </c>
      <c r="BA20" s="18" t="str">
        <f aca="false">IF(AZ20="","",MOD(VALUE(AZ20&amp;MID(AV20,31,7)),97))</f>
        <v/>
      </c>
      <c r="BB20" s="18" t="str">
        <f aca="false">IF(BA20="","",MOD(VALUE(BA20&amp;MID(AV20,38,7)),97))</f>
        <v/>
      </c>
      <c r="BC20" s="18" t="str">
        <f aca="false">IF(BB20="","",MOD(VALUE(BB20&amp;MID(AV20,45,7)),97))</f>
        <v/>
      </c>
      <c r="BD20" s="18" t="str">
        <f aca="false">IF(BC20="","",MOD(VALUE(BC20&amp;MID(AV20,52,7)),97))</f>
        <v/>
      </c>
      <c r="BE20" s="18" t="str">
        <f aca="false">IF(BD20="","",MOD(VALUE(BD20&amp;MID(AV20,59,7)),97))</f>
        <v/>
      </c>
      <c r="BF20" s="18" t="str">
        <f aca="false">IF(BE20="","",MOD(VALUE(BE20&amp;MID(AV20,66,7)),97))</f>
        <v/>
      </c>
    </row>
    <row r="21" customFormat="false" ht="15" hidden="false" customHeight="false" outlineLevel="0" collapsed="false">
      <c r="A21" s="11"/>
      <c r="B21" s="5" t="str">
        <f aca="false">UPPER(SUBSTITUTE(SUBSTITUTE(SUBSTITUTE(TRIM(A21)," ",""),"-",""),CHAR(160),""))</f>
        <v/>
      </c>
      <c r="C21" s="5" t="str">
        <f aca="false">IF(B21="","",LEN(B21))</f>
        <v/>
      </c>
      <c r="D21" s="5" t="str">
        <f aca="false">IF(B21="","",LEFT(B21,2))</f>
        <v/>
      </c>
      <c r="E21" s="5" t="str">
        <f aca="false">IF(B21="","",MID(B21,3,2))</f>
        <v/>
      </c>
      <c r="F21" s="5" t="str">
        <f aca="false">IF(B21="","",MID(B21,5,2))</f>
        <v/>
      </c>
      <c r="G21" s="5" t="str">
        <f aca="false">IF(B21="","",IFERROR(INDEX('رموز البنوك'!$C$5:$C$30,MATCH(F21,'رموز البنوك'!$B$5:$B$30,0)),"رمز غير معروف"))</f>
        <v/>
      </c>
      <c r="H21" s="5" t="str">
        <f aca="false">BF21</f>
        <v/>
      </c>
      <c r="I21" s="5" t="str">
        <f aca="false">IF(OR(H21="",NOT(AND(ISNUMBER(FIND(MID(B21,3,1),"0123456789")),ISNUMBER(FIND(MID(B21,4,1),"0123456789"))))),"",TEXT(98-MOD(H21-VALUE(E21),97),"00"))</f>
        <v/>
      </c>
      <c r="J21" s="4" t="str">
        <f aca="false">IF(B21="","",IF(LEFT(K21,10)="آيبان صحيح","صحيح ✓","غير صحيح ✗"))</f>
        <v/>
      </c>
      <c r="K21" s="10" t="str">
        <f aca="false">IF(B21="","",IF(M21=FALSE(),"يحتوي رموزاً غير مسموحة (المسموح A–Z و 0–9 فقط)",IF(D21&lt;&gt;"SA","رمز الدولة "&amp;D21&amp;" — هذا المدقق للآيبان السعودي SA",IF(C21&lt;&gt;24,"الطول "&amp;C21&amp;" خانة والمطلوب 24",IF(NOT(AND(ISNUMBER(FIND(MID(B21,3,1),"0123456789")),ISNUMBER(FIND(MID(B21,4,1),"0123456789")))),"خانتا التدقيق يجب أن تكونا رقمين",IF(ISERROR(VALUE(MID(B21,5,20))),"رمز البنك ورقم الحساب يجب أن يكونا أرقاماً",IF(H21&lt;&gt;1,"فشل اختبار MOD-97 (الباقي "&amp;H21&amp;" وليس 1) — خطأ في كتابة الرقم؛ خانتا التدقيق الصحيحتان لهذا الحساب "&amp;I21,IF(G21="رمز غير معروف","اجتاز MOD-97 لكن رمز البنك "&amp;F21&amp;" غير مسجل في جدول البنوك","آيبان صحيح — "&amp;G21))))))))</f>
        <v/>
      </c>
      <c r="L21" s="18" t="str">
        <f aca="false">IF(B21="","",MID(B21,5,40)&amp;LEFT(B21,4))</f>
        <v/>
      </c>
      <c r="M21" s="18" t="str">
        <f aca="false">IF(L21="","",NOT(ISNUMBER(FIND("#",AV21))))</f>
        <v/>
      </c>
      <c r="N21" s="18" t="str">
        <f aca="false">IF(LEN($L21)&lt;1,"",IF(ISNUMBER(FIND(MID($L21,1,1),"0123456789")),MID($L21,1,1),IF(ISNUMBER(FIND(MID($L21,1,1),"ABCDEFGHIJKLMNOPQRSTUVWXYZ")),CODE(MID($L21,1,1))-55,"#")))</f>
        <v/>
      </c>
      <c r="O21" s="18" t="str">
        <f aca="false">IF(LEN($L21)&lt;2,"",IF(ISNUMBER(FIND(MID($L21,2,1),"0123456789")),MID($L21,2,1),IF(ISNUMBER(FIND(MID($L21,2,1),"ABCDEFGHIJKLMNOPQRSTUVWXYZ")),CODE(MID($L21,2,1))-55,"#")))</f>
        <v/>
      </c>
      <c r="P21" s="18" t="str">
        <f aca="false">IF(LEN($L21)&lt;3,"",IF(ISNUMBER(FIND(MID($L21,3,1),"0123456789")),MID($L21,3,1),IF(ISNUMBER(FIND(MID($L21,3,1),"ABCDEFGHIJKLMNOPQRSTUVWXYZ")),CODE(MID($L21,3,1))-55,"#")))</f>
        <v/>
      </c>
      <c r="Q21" s="18" t="str">
        <f aca="false">IF(LEN($L21)&lt;4,"",IF(ISNUMBER(FIND(MID($L21,4,1),"0123456789")),MID($L21,4,1),IF(ISNUMBER(FIND(MID($L21,4,1),"ABCDEFGHIJKLMNOPQRSTUVWXYZ")),CODE(MID($L21,4,1))-55,"#")))</f>
        <v/>
      </c>
      <c r="R21" s="18" t="str">
        <f aca="false">IF(LEN($L21)&lt;5,"",IF(ISNUMBER(FIND(MID($L21,5,1),"0123456789")),MID($L21,5,1),IF(ISNUMBER(FIND(MID($L21,5,1),"ABCDEFGHIJKLMNOPQRSTUVWXYZ")),CODE(MID($L21,5,1))-55,"#")))</f>
        <v/>
      </c>
      <c r="S21" s="18" t="str">
        <f aca="false">IF(LEN($L21)&lt;6,"",IF(ISNUMBER(FIND(MID($L21,6,1),"0123456789")),MID($L21,6,1),IF(ISNUMBER(FIND(MID($L21,6,1),"ABCDEFGHIJKLMNOPQRSTUVWXYZ")),CODE(MID($L21,6,1))-55,"#")))</f>
        <v/>
      </c>
      <c r="T21" s="18" t="str">
        <f aca="false">IF(LEN($L21)&lt;7,"",IF(ISNUMBER(FIND(MID($L21,7,1),"0123456789")),MID($L21,7,1),IF(ISNUMBER(FIND(MID($L21,7,1),"ABCDEFGHIJKLMNOPQRSTUVWXYZ")),CODE(MID($L21,7,1))-55,"#")))</f>
        <v/>
      </c>
      <c r="U21" s="18" t="str">
        <f aca="false">IF(LEN($L21)&lt;8,"",IF(ISNUMBER(FIND(MID($L21,8,1),"0123456789")),MID($L21,8,1),IF(ISNUMBER(FIND(MID($L21,8,1),"ABCDEFGHIJKLMNOPQRSTUVWXYZ")),CODE(MID($L21,8,1))-55,"#")))</f>
        <v/>
      </c>
      <c r="V21" s="18" t="str">
        <f aca="false">IF(LEN($L21)&lt;9,"",IF(ISNUMBER(FIND(MID($L21,9,1),"0123456789")),MID($L21,9,1),IF(ISNUMBER(FIND(MID($L21,9,1),"ABCDEFGHIJKLMNOPQRSTUVWXYZ")),CODE(MID($L21,9,1))-55,"#")))</f>
        <v/>
      </c>
      <c r="W21" s="18" t="str">
        <f aca="false">IF(LEN($L21)&lt;10,"",IF(ISNUMBER(FIND(MID($L21,10,1),"0123456789")),MID($L21,10,1),IF(ISNUMBER(FIND(MID($L21,10,1),"ABCDEFGHIJKLMNOPQRSTUVWXYZ")),CODE(MID($L21,10,1))-55,"#")))</f>
        <v/>
      </c>
      <c r="X21" s="18" t="str">
        <f aca="false">IF(LEN($L21)&lt;11,"",IF(ISNUMBER(FIND(MID($L21,11,1),"0123456789")),MID($L21,11,1),IF(ISNUMBER(FIND(MID($L21,11,1),"ABCDEFGHIJKLMNOPQRSTUVWXYZ")),CODE(MID($L21,11,1))-55,"#")))</f>
        <v/>
      </c>
      <c r="Y21" s="18" t="str">
        <f aca="false">IF(LEN($L21)&lt;12,"",IF(ISNUMBER(FIND(MID($L21,12,1),"0123456789")),MID($L21,12,1),IF(ISNUMBER(FIND(MID($L21,12,1),"ABCDEFGHIJKLMNOPQRSTUVWXYZ")),CODE(MID($L21,12,1))-55,"#")))</f>
        <v/>
      </c>
      <c r="Z21" s="18" t="str">
        <f aca="false">IF(LEN($L21)&lt;13,"",IF(ISNUMBER(FIND(MID($L21,13,1),"0123456789")),MID($L21,13,1),IF(ISNUMBER(FIND(MID($L21,13,1),"ABCDEFGHIJKLMNOPQRSTUVWXYZ")),CODE(MID($L21,13,1))-55,"#")))</f>
        <v/>
      </c>
      <c r="AA21" s="18" t="str">
        <f aca="false">IF(LEN($L21)&lt;14,"",IF(ISNUMBER(FIND(MID($L21,14,1),"0123456789")),MID($L21,14,1),IF(ISNUMBER(FIND(MID($L21,14,1),"ABCDEFGHIJKLMNOPQRSTUVWXYZ")),CODE(MID($L21,14,1))-55,"#")))</f>
        <v/>
      </c>
      <c r="AB21" s="18" t="str">
        <f aca="false">IF(LEN($L21)&lt;15,"",IF(ISNUMBER(FIND(MID($L21,15,1),"0123456789")),MID($L21,15,1),IF(ISNUMBER(FIND(MID($L21,15,1),"ABCDEFGHIJKLMNOPQRSTUVWXYZ")),CODE(MID($L21,15,1))-55,"#")))</f>
        <v/>
      </c>
      <c r="AC21" s="18" t="str">
        <f aca="false">IF(LEN($L21)&lt;16,"",IF(ISNUMBER(FIND(MID($L21,16,1),"0123456789")),MID($L21,16,1),IF(ISNUMBER(FIND(MID($L21,16,1),"ABCDEFGHIJKLMNOPQRSTUVWXYZ")),CODE(MID($L21,16,1))-55,"#")))</f>
        <v/>
      </c>
      <c r="AD21" s="18" t="str">
        <f aca="false">IF(LEN($L21)&lt;17,"",IF(ISNUMBER(FIND(MID($L21,17,1),"0123456789")),MID($L21,17,1),IF(ISNUMBER(FIND(MID($L21,17,1),"ABCDEFGHIJKLMNOPQRSTUVWXYZ")),CODE(MID($L21,17,1))-55,"#")))</f>
        <v/>
      </c>
      <c r="AE21" s="18" t="str">
        <f aca="false">IF(LEN($L21)&lt;18,"",IF(ISNUMBER(FIND(MID($L21,18,1),"0123456789")),MID($L21,18,1),IF(ISNUMBER(FIND(MID($L21,18,1),"ABCDEFGHIJKLMNOPQRSTUVWXYZ")),CODE(MID($L21,18,1))-55,"#")))</f>
        <v/>
      </c>
      <c r="AF21" s="18" t="str">
        <f aca="false">IF(LEN($L21)&lt;19,"",IF(ISNUMBER(FIND(MID($L21,19,1),"0123456789")),MID($L21,19,1),IF(ISNUMBER(FIND(MID($L21,19,1),"ABCDEFGHIJKLMNOPQRSTUVWXYZ")),CODE(MID($L21,19,1))-55,"#")))</f>
        <v/>
      </c>
      <c r="AG21" s="18" t="str">
        <f aca="false">IF(LEN($L21)&lt;20,"",IF(ISNUMBER(FIND(MID($L21,20,1),"0123456789")),MID($L21,20,1),IF(ISNUMBER(FIND(MID($L21,20,1),"ABCDEFGHIJKLMNOPQRSTUVWXYZ")),CODE(MID($L21,20,1))-55,"#")))</f>
        <v/>
      </c>
      <c r="AH21" s="18" t="str">
        <f aca="false">IF(LEN($L21)&lt;21,"",IF(ISNUMBER(FIND(MID($L21,21,1),"0123456789")),MID($L21,21,1),IF(ISNUMBER(FIND(MID($L21,21,1),"ABCDEFGHIJKLMNOPQRSTUVWXYZ")),CODE(MID($L21,21,1))-55,"#")))</f>
        <v/>
      </c>
      <c r="AI21" s="18" t="str">
        <f aca="false">IF(LEN($L21)&lt;22,"",IF(ISNUMBER(FIND(MID($L21,22,1),"0123456789")),MID($L21,22,1),IF(ISNUMBER(FIND(MID($L21,22,1),"ABCDEFGHIJKLMNOPQRSTUVWXYZ")),CODE(MID($L21,22,1))-55,"#")))</f>
        <v/>
      </c>
      <c r="AJ21" s="18" t="str">
        <f aca="false">IF(LEN($L21)&lt;23,"",IF(ISNUMBER(FIND(MID($L21,23,1),"0123456789")),MID($L21,23,1),IF(ISNUMBER(FIND(MID($L21,23,1),"ABCDEFGHIJKLMNOPQRSTUVWXYZ")),CODE(MID($L21,23,1))-55,"#")))</f>
        <v/>
      </c>
      <c r="AK21" s="18" t="str">
        <f aca="false">IF(LEN($L21)&lt;24,"",IF(ISNUMBER(FIND(MID($L21,24,1),"0123456789")),MID($L21,24,1),IF(ISNUMBER(FIND(MID($L21,24,1),"ABCDEFGHIJKLMNOPQRSTUVWXYZ")),CODE(MID($L21,24,1))-55,"#")))</f>
        <v/>
      </c>
      <c r="AL21" s="18" t="str">
        <f aca="false">IF(LEN($L21)&lt;25,"",IF(ISNUMBER(FIND(MID($L21,25,1),"0123456789")),MID($L21,25,1),IF(ISNUMBER(FIND(MID($L21,25,1),"ABCDEFGHIJKLMNOPQRSTUVWXYZ")),CODE(MID($L21,25,1))-55,"#")))</f>
        <v/>
      </c>
      <c r="AM21" s="18" t="str">
        <f aca="false">IF(LEN($L21)&lt;26,"",IF(ISNUMBER(FIND(MID($L21,26,1),"0123456789")),MID($L21,26,1),IF(ISNUMBER(FIND(MID($L21,26,1),"ABCDEFGHIJKLMNOPQRSTUVWXYZ")),CODE(MID($L21,26,1))-55,"#")))</f>
        <v/>
      </c>
      <c r="AN21" s="18" t="str">
        <f aca="false">IF(LEN($L21)&lt;27,"",IF(ISNUMBER(FIND(MID($L21,27,1),"0123456789")),MID($L21,27,1),IF(ISNUMBER(FIND(MID($L21,27,1),"ABCDEFGHIJKLMNOPQRSTUVWXYZ")),CODE(MID($L21,27,1))-55,"#")))</f>
        <v/>
      </c>
      <c r="AO21" s="18" t="str">
        <f aca="false">IF(LEN($L21)&lt;28,"",IF(ISNUMBER(FIND(MID($L21,28,1),"0123456789")),MID($L21,28,1),IF(ISNUMBER(FIND(MID($L21,28,1),"ABCDEFGHIJKLMNOPQRSTUVWXYZ")),CODE(MID($L21,28,1))-55,"#")))</f>
        <v/>
      </c>
      <c r="AP21" s="18" t="str">
        <f aca="false">IF(LEN($L21)&lt;29,"",IF(ISNUMBER(FIND(MID($L21,29,1),"0123456789")),MID($L21,29,1),IF(ISNUMBER(FIND(MID($L21,29,1),"ABCDEFGHIJKLMNOPQRSTUVWXYZ")),CODE(MID($L21,29,1))-55,"#")))</f>
        <v/>
      </c>
      <c r="AQ21" s="18" t="str">
        <f aca="false">IF(LEN($L21)&lt;30,"",IF(ISNUMBER(FIND(MID($L21,30,1),"0123456789")),MID($L21,30,1),IF(ISNUMBER(FIND(MID($L21,30,1),"ABCDEFGHIJKLMNOPQRSTUVWXYZ")),CODE(MID($L21,30,1))-55,"#")))</f>
        <v/>
      </c>
      <c r="AR21" s="18" t="str">
        <f aca="false">IF(LEN($L21)&lt;31,"",IF(ISNUMBER(FIND(MID($L21,31,1),"0123456789")),MID($L21,31,1),IF(ISNUMBER(FIND(MID($L21,31,1),"ABCDEFGHIJKLMNOPQRSTUVWXYZ")),CODE(MID($L21,31,1))-55,"#")))</f>
        <v/>
      </c>
      <c r="AS21" s="18" t="str">
        <f aca="false">IF(LEN($L21)&lt;32,"",IF(ISNUMBER(FIND(MID($L21,32,1),"0123456789")),MID($L21,32,1),IF(ISNUMBER(FIND(MID($L21,32,1),"ABCDEFGHIJKLMNOPQRSTUVWXYZ")),CODE(MID($L21,32,1))-55,"#")))</f>
        <v/>
      </c>
      <c r="AT21" s="18" t="str">
        <f aca="false">IF(LEN($L21)&lt;33,"",IF(ISNUMBER(FIND(MID($L21,33,1),"0123456789")),MID($L21,33,1),IF(ISNUMBER(FIND(MID($L21,33,1),"ABCDEFGHIJKLMNOPQRSTUVWXYZ")),CODE(MID($L21,33,1))-55,"#")))</f>
        <v/>
      </c>
      <c r="AU21" s="18" t="str">
        <f aca="false">IF(LEN($L21)&lt;34,"",IF(ISNUMBER(FIND(MID($L21,34,1),"0123456789")),MID($L21,34,1),IF(ISNUMBER(FIND(MID($L21,34,1),"ABCDEFGHIJKLMNOPQRSTUVWXYZ")),CODE(MID($L21,34,1))-55,"#")))</f>
        <v/>
      </c>
      <c r="AV21" s="18" t="str">
        <f aca="false">_xlfn.CONCAT(N21:AU21)</f>
        <v/>
      </c>
      <c r="AW21" s="18" t="str">
        <f aca="false">IF(OR(AV21="",M21=FALSE()),"",MOD(VALUE(MID(AV21,1,9)),97))</f>
        <v/>
      </c>
      <c r="AX21" s="18" t="str">
        <f aca="false">IF(AW21="","",MOD(VALUE(AW21&amp;MID(AV21,10,7)),97))</f>
        <v/>
      </c>
      <c r="AY21" s="18" t="str">
        <f aca="false">IF(AX21="","",MOD(VALUE(AX21&amp;MID(AV21,17,7)),97))</f>
        <v/>
      </c>
      <c r="AZ21" s="18" t="str">
        <f aca="false">IF(AY21="","",MOD(VALUE(AY21&amp;MID(AV21,24,7)),97))</f>
        <v/>
      </c>
      <c r="BA21" s="18" t="str">
        <f aca="false">IF(AZ21="","",MOD(VALUE(AZ21&amp;MID(AV21,31,7)),97))</f>
        <v/>
      </c>
      <c r="BB21" s="18" t="str">
        <f aca="false">IF(BA21="","",MOD(VALUE(BA21&amp;MID(AV21,38,7)),97))</f>
        <v/>
      </c>
      <c r="BC21" s="18" t="str">
        <f aca="false">IF(BB21="","",MOD(VALUE(BB21&amp;MID(AV21,45,7)),97))</f>
        <v/>
      </c>
      <c r="BD21" s="18" t="str">
        <f aca="false">IF(BC21="","",MOD(VALUE(BC21&amp;MID(AV21,52,7)),97))</f>
        <v/>
      </c>
      <c r="BE21" s="18" t="str">
        <f aca="false">IF(BD21="","",MOD(VALUE(BD21&amp;MID(AV21,59,7)),97))</f>
        <v/>
      </c>
      <c r="BF21" s="18" t="str">
        <f aca="false">IF(BE21="","",MOD(VALUE(BE21&amp;MID(AV21,66,7)),97))</f>
        <v/>
      </c>
    </row>
    <row r="22" customFormat="false" ht="15" hidden="false" customHeight="false" outlineLevel="0" collapsed="false">
      <c r="A22" s="11"/>
      <c r="B22" s="5" t="str">
        <f aca="false">UPPER(SUBSTITUTE(SUBSTITUTE(SUBSTITUTE(TRIM(A22)," ",""),"-",""),CHAR(160),""))</f>
        <v/>
      </c>
      <c r="C22" s="5" t="str">
        <f aca="false">IF(B22="","",LEN(B22))</f>
        <v/>
      </c>
      <c r="D22" s="5" t="str">
        <f aca="false">IF(B22="","",LEFT(B22,2))</f>
        <v/>
      </c>
      <c r="E22" s="5" t="str">
        <f aca="false">IF(B22="","",MID(B22,3,2))</f>
        <v/>
      </c>
      <c r="F22" s="5" t="str">
        <f aca="false">IF(B22="","",MID(B22,5,2))</f>
        <v/>
      </c>
      <c r="G22" s="5" t="str">
        <f aca="false">IF(B22="","",IFERROR(INDEX('رموز البنوك'!$C$5:$C$30,MATCH(F22,'رموز البنوك'!$B$5:$B$30,0)),"رمز غير معروف"))</f>
        <v/>
      </c>
      <c r="H22" s="5" t="str">
        <f aca="false">BF22</f>
        <v/>
      </c>
      <c r="I22" s="5" t="str">
        <f aca="false">IF(OR(H22="",NOT(AND(ISNUMBER(FIND(MID(B22,3,1),"0123456789")),ISNUMBER(FIND(MID(B22,4,1),"0123456789"))))),"",TEXT(98-MOD(H22-VALUE(E22),97),"00"))</f>
        <v/>
      </c>
      <c r="J22" s="4" t="str">
        <f aca="false">IF(B22="","",IF(LEFT(K22,10)="آيبان صحيح","صحيح ✓","غير صحيح ✗"))</f>
        <v/>
      </c>
      <c r="K22" s="10" t="str">
        <f aca="false">IF(B22="","",IF(M22=FALSE(),"يحتوي رموزاً غير مسموحة (المسموح A–Z و 0–9 فقط)",IF(D22&lt;&gt;"SA","رمز الدولة "&amp;D22&amp;" — هذا المدقق للآيبان السعودي SA",IF(C22&lt;&gt;24,"الطول "&amp;C22&amp;" خانة والمطلوب 24",IF(NOT(AND(ISNUMBER(FIND(MID(B22,3,1),"0123456789")),ISNUMBER(FIND(MID(B22,4,1),"0123456789")))),"خانتا التدقيق يجب أن تكونا رقمين",IF(ISERROR(VALUE(MID(B22,5,20))),"رمز البنك ورقم الحساب يجب أن يكونا أرقاماً",IF(H22&lt;&gt;1,"فشل اختبار MOD-97 (الباقي "&amp;H22&amp;" وليس 1) — خطأ في كتابة الرقم؛ خانتا التدقيق الصحيحتان لهذا الحساب "&amp;I22,IF(G22="رمز غير معروف","اجتاز MOD-97 لكن رمز البنك "&amp;F22&amp;" غير مسجل في جدول البنوك","آيبان صحيح — "&amp;G22))))))))</f>
        <v/>
      </c>
      <c r="L22" s="18" t="str">
        <f aca="false">IF(B22="","",MID(B22,5,40)&amp;LEFT(B22,4))</f>
        <v/>
      </c>
      <c r="M22" s="18" t="str">
        <f aca="false">IF(L22="","",NOT(ISNUMBER(FIND("#",AV22))))</f>
        <v/>
      </c>
      <c r="N22" s="18" t="str">
        <f aca="false">IF(LEN($L22)&lt;1,"",IF(ISNUMBER(FIND(MID($L22,1,1),"0123456789")),MID($L22,1,1),IF(ISNUMBER(FIND(MID($L22,1,1),"ABCDEFGHIJKLMNOPQRSTUVWXYZ")),CODE(MID($L22,1,1))-55,"#")))</f>
        <v/>
      </c>
      <c r="O22" s="18" t="str">
        <f aca="false">IF(LEN($L22)&lt;2,"",IF(ISNUMBER(FIND(MID($L22,2,1),"0123456789")),MID($L22,2,1),IF(ISNUMBER(FIND(MID($L22,2,1),"ABCDEFGHIJKLMNOPQRSTUVWXYZ")),CODE(MID($L22,2,1))-55,"#")))</f>
        <v/>
      </c>
      <c r="P22" s="18" t="str">
        <f aca="false">IF(LEN($L22)&lt;3,"",IF(ISNUMBER(FIND(MID($L22,3,1),"0123456789")),MID($L22,3,1),IF(ISNUMBER(FIND(MID($L22,3,1),"ABCDEFGHIJKLMNOPQRSTUVWXYZ")),CODE(MID($L22,3,1))-55,"#")))</f>
        <v/>
      </c>
      <c r="Q22" s="18" t="str">
        <f aca="false">IF(LEN($L22)&lt;4,"",IF(ISNUMBER(FIND(MID($L22,4,1),"0123456789")),MID($L22,4,1),IF(ISNUMBER(FIND(MID($L22,4,1),"ABCDEFGHIJKLMNOPQRSTUVWXYZ")),CODE(MID($L22,4,1))-55,"#")))</f>
        <v/>
      </c>
      <c r="R22" s="18" t="str">
        <f aca="false">IF(LEN($L22)&lt;5,"",IF(ISNUMBER(FIND(MID($L22,5,1),"0123456789")),MID($L22,5,1),IF(ISNUMBER(FIND(MID($L22,5,1),"ABCDEFGHIJKLMNOPQRSTUVWXYZ")),CODE(MID($L22,5,1))-55,"#")))</f>
        <v/>
      </c>
      <c r="S22" s="18" t="str">
        <f aca="false">IF(LEN($L22)&lt;6,"",IF(ISNUMBER(FIND(MID($L22,6,1),"0123456789")),MID($L22,6,1),IF(ISNUMBER(FIND(MID($L22,6,1),"ABCDEFGHIJKLMNOPQRSTUVWXYZ")),CODE(MID($L22,6,1))-55,"#")))</f>
        <v/>
      </c>
      <c r="T22" s="18" t="str">
        <f aca="false">IF(LEN($L22)&lt;7,"",IF(ISNUMBER(FIND(MID($L22,7,1),"0123456789")),MID($L22,7,1),IF(ISNUMBER(FIND(MID($L22,7,1),"ABCDEFGHIJKLMNOPQRSTUVWXYZ")),CODE(MID($L22,7,1))-55,"#")))</f>
        <v/>
      </c>
      <c r="U22" s="18" t="str">
        <f aca="false">IF(LEN($L22)&lt;8,"",IF(ISNUMBER(FIND(MID($L22,8,1),"0123456789")),MID($L22,8,1),IF(ISNUMBER(FIND(MID($L22,8,1),"ABCDEFGHIJKLMNOPQRSTUVWXYZ")),CODE(MID($L22,8,1))-55,"#")))</f>
        <v/>
      </c>
      <c r="V22" s="18" t="str">
        <f aca="false">IF(LEN($L22)&lt;9,"",IF(ISNUMBER(FIND(MID($L22,9,1),"0123456789")),MID($L22,9,1),IF(ISNUMBER(FIND(MID($L22,9,1),"ABCDEFGHIJKLMNOPQRSTUVWXYZ")),CODE(MID($L22,9,1))-55,"#")))</f>
        <v/>
      </c>
      <c r="W22" s="18" t="str">
        <f aca="false">IF(LEN($L22)&lt;10,"",IF(ISNUMBER(FIND(MID($L22,10,1),"0123456789")),MID($L22,10,1),IF(ISNUMBER(FIND(MID($L22,10,1),"ABCDEFGHIJKLMNOPQRSTUVWXYZ")),CODE(MID($L22,10,1))-55,"#")))</f>
        <v/>
      </c>
      <c r="X22" s="18" t="str">
        <f aca="false">IF(LEN($L22)&lt;11,"",IF(ISNUMBER(FIND(MID($L22,11,1),"0123456789")),MID($L22,11,1),IF(ISNUMBER(FIND(MID($L22,11,1),"ABCDEFGHIJKLMNOPQRSTUVWXYZ")),CODE(MID($L22,11,1))-55,"#")))</f>
        <v/>
      </c>
      <c r="Y22" s="18" t="str">
        <f aca="false">IF(LEN($L22)&lt;12,"",IF(ISNUMBER(FIND(MID($L22,12,1),"0123456789")),MID($L22,12,1),IF(ISNUMBER(FIND(MID($L22,12,1),"ABCDEFGHIJKLMNOPQRSTUVWXYZ")),CODE(MID($L22,12,1))-55,"#")))</f>
        <v/>
      </c>
      <c r="Z22" s="18" t="str">
        <f aca="false">IF(LEN($L22)&lt;13,"",IF(ISNUMBER(FIND(MID($L22,13,1),"0123456789")),MID($L22,13,1),IF(ISNUMBER(FIND(MID($L22,13,1),"ABCDEFGHIJKLMNOPQRSTUVWXYZ")),CODE(MID($L22,13,1))-55,"#")))</f>
        <v/>
      </c>
      <c r="AA22" s="18" t="str">
        <f aca="false">IF(LEN($L22)&lt;14,"",IF(ISNUMBER(FIND(MID($L22,14,1),"0123456789")),MID($L22,14,1),IF(ISNUMBER(FIND(MID($L22,14,1),"ABCDEFGHIJKLMNOPQRSTUVWXYZ")),CODE(MID($L22,14,1))-55,"#")))</f>
        <v/>
      </c>
      <c r="AB22" s="18" t="str">
        <f aca="false">IF(LEN($L22)&lt;15,"",IF(ISNUMBER(FIND(MID($L22,15,1),"0123456789")),MID($L22,15,1),IF(ISNUMBER(FIND(MID($L22,15,1),"ABCDEFGHIJKLMNOPQRSTUVWXYZ")),CODE(MID($L22,15,1))-55,"#")))</f>
        <v/>
      </c>
      <c r="AC22" s="18" t="str">
        <f aca="false">IF(LEN($L22)&lt;16,"",IF(ISNUMBER(FIND(MID($L22,16,1),"0123456789")),MID($L22,16,1),IF(ISNUMBER(FIND(MID($L22,16,1),"ABCDEFGHIJKLMNOPQRSTUVWXYZ")),CODE(MID($L22,16,1))-55,"#")))</f>
        <v/>
      </c>
      <c r="AD22" s="18" t="str">
        <f aca="false">IF(LEN($L22)&lt;17,"",IF(ISNUMBER(FIND(MID($L22,17,1),"0123456789")),MID($L22,17,1),IF(ISNUMBER(FIND(MID($L22,17,1),"ABCDEFGHIJKLMNOPQRSTUVWXYZ")),CODE(MID($L22,17,1))-55,"#")))</f>
        <v/>
      </c>
      <c r="AE22" s="18" t="str">
        <f aca="false">IF(LEN($L22)&lt;18,"",IF(ISNUMBER(FIND(MID($L22,18,1),"0123456789")),MID($L22,18,1),IF(ISNUMBER(FIND(MID($L22,18,1),"ABCDEFGHIJKLMNOPQRSTUVWXYZ")),CODE(MID($L22,18,1))-55,"#")))</f>
        <v/>
      </c>
      <c r="AF22" s="18" t="str">
        <f aca="false">IF(LEN($L22)&lt;19,"",IF(ISNUMBER(FIND(MID($L22,19,1),"0123456789")),MID($L22,19,1),IF(ISNUMBER(FIND(MID($L22,19,1),"ABCDEFGHIJKLMNOPQRSTUVWXYZ")),CODE(MID($L22,19,1))-55,"#")))</f>
        <v/>
      </c>
      <c r="AG22" s="18" t="str">
        <f aca="false">IF(LEN($L22)&lt;20,"",IF(ISNUMBER(FIND(MID($L22,20,1),"0123456789")),MID($L22,20,1),IF(ISNUMBER(FIND(MID($L22,20,1),"ABCDEFGHIJKLMNOPQRSTUVWXYZ")),CODE(MID($L22,20,1))-55,"#")))</f>
        <v/>
      </c>
      <c r="AH22" s="18" t="str">
        <f aca="false">IF(LEN($L22)&lt;21,"",IF(ISNUMBER(FIND(MID($L22,21,1),"0123456789")),MID($L22,21,1),IF(ISNUMBER(FIND(MID($L22,21,1),"ABCDEFGHIJKLMNOPQRSTUVWXYZ")),CODE(MID($L22,21,1))-55,"#")))</f>
        <v/>
      </c>
      <c r="AI22" s="18" t="str">
        <f aca="false">IF(LEN($L22)&lt;22,"",IF(ISNUMBER(FIND(MID($L22,22,1),"0123456789")),MID($L22,22,1),IF(ISNUMBER(FIND(MID($L22,22,1),"ABCDEFGHIJKLMNOPQRSTUVWXYZ")),CODE(MID($L22,22,1))-55,"#")))</f>
        <v/>
      </c>
      <c r="AJ22" s="18" t="str">
        <f aca="false">IF(LEN($L22)&lt;23,"",IF(ISNUMBER(FIND(MID($L22,23,1),"0123456789")),MID($L22,23,1),IF(ISNUMBER(FIND(MID($L22,23,1),"ABCDEFGHIJKLMNOPQRSTUVWXYZ")),CODE(MID($L22,23,1))-55,"#")))</f>
        <v/>
      </c>
      <c r="AK22" s="18" t="str">
        <f aca="false">IF(LEN($L22)&lt;24,"",IF(ISNUMBER(FIND(MID($L22,24,1),"0123456789")),MID($L22,24,1),IF(ISNUMBER(FIND(MID($L22,24,1),"ABCDEFGHIJKLMNOPQRSTUVWXYZ")),CODE(MID($L22,24,1))-55,"#")))</f>
        <v/>
      </c>
      <c r="AL22" s="18" t="str">
        <f aca="false">IF(LEN($L22)&lt;25,"",IF(ISNUMBER(FIND(MID($L22,25,1),"0123456789")),MID($L22,25,1),IF(ISNUMBER(FIND(MID($L22,25,1),"ABCDEFGHIJKLMNOPQRSTUVWXYZ")),CODE(MID($L22,25,1))-55,"#")))</f>
        <v/>
      </c>
      <c r="AM22" s="18" t="str">
        <f aca="false">IF(LEN($L22)&lt;26,"",IF(ISNUMBER(FIND(MID($L22,26,1),"0123456789")),MID($L22,26,1),IF(ISNUMBER(FIND(MID($L22,26,1),"ABCDEFGHIJKLMNOPQRSTUVWXYZ")),CODE(MID($L22,26,1))-55,"#")))</f>
        <v/>
      </c>
      <c r="AN22" s="18" t="str">
        <f aca="false">IF(LEN($L22)&lt;27,"",IF(ISNUMBER(FIND(MID($L22,27,1),"0123456789")),MID($L22,27,1),IF(ISNUMBER(FIND(MID($L22,27,1),"ABCDEFGHIJKLMNOPQRSTUVWXYZ")),CODE(MID($L22,27,1))-55,"#")))</f>
        <v/>
      </c>
      <c r="AO22" s="18" t="str">
        <f aca="false">IF(LEN($L22)&lt;28,"",IF(ISNUMBER(FIND(MID($L22,28,1),"0123456789")),MID($L22,28,1),IF(ISNUMBER(FIND(MID($L22,28,1),"ABCDEFGHIJKLMNOPQRSTUVWXYZ")),CODE(MID($L22,28,1))-55,"#")))</f>
        <v/>
      </c>
      <c r="AP22" s="18" t="str">
        <f aca="false">IF(LEN($L22)&lt;29,"",IF(ISNUMBER(FIND(MID($L22,29,1),"0123456789")),MID($L22,29,1),IF(ISNUMBER(FIND(MID($L22,29,1),"ABCDEFGHIJKLMNOPQRSTUVWXYZ")),CODE(MID($L22,29,1))-55,"#")))</f>
        <v/>
      </c>
      <c r="AQ22" s="18" t="str">
        <f aca="false">IF(LEN($L22)&lt;30,"",IF(ISNUMBER(FIND(MID($L22,30,1),"0123456789")),MID($L22,30,1),IF(ISNUMBER(FIND(MID($L22,30,1),"ABCDEFGHIJKLMNOPQRSTUVWXYZ")),CODE(MID($L22,30,1))-55,"#")))</f>
        <v/>
      </c>
      <c r="AR22" s="18" t="str">
        <f aca="false">IF(LEN($L22)&lt;31,"",IF(ISNUMBER(FIND(MID($L22,31,1),"0123456789")),MID($L22,31,1),IF(ISNUMBER(FIND(MID($L22,31,1),"ABCDEFGHIJKLMNOPQRSTUVWXYZ")),CODE(MID($L22,31,1))-55,"#")))</f>
        <v/>
      </c>
      <c r="AS22" s="18" t="str">
        <f aca="false">IF(LEN($L22)&lt;32,"",IF(ISNUMBER(FIND(MID($L22,32,1),"0123456789")),MID($L22,32,1),IF(ISNUMBER(FIND(MID($L22,32,1),"ABCDEFGHIJKLMNOPQRSTUVWXYZ")),CODE(MID($L22,32,1))-55,"#")))</f>
        <v/>
      </c>
      <c r="AT22" s="18" t="str">
        <f aca="false">IF(LEN($L22)&lt;33,"",IF(ISNUMBER(FIND(MID($L22,33,1),"0123456789")),MID($L22,33,1),IF(ISNUMBER(FIND(MID($L22,33,1),"ABCDEFGHIJKLMNOPQRSTUVWXYZ")),CODE(MID($L22,33,1))-55,"#")))</f>
        <v/>
      </c>
      <c r="AU22" s="18" t="str">
        <f aca="false">IF(LEN($L22)&lt;34,"",IF(ISNUMBER(FIND(MID($L22,34,1),"0123456789")),MID($L22,34,1),IF(ISNUMBER(FIND(MID($L22,34,1),"ABCDEFGHIJKLMNOPQRSTUVWXYZ")),CODE(MID($L22,34,1))-55,"#")))</f>
        <v/>
      </c>
      <c r="AV22" s="18" t="str">
        <f aca="false">_xlfn.CONCAT(N22:AU22)</f>
        <v/>
      </c>
      <c r="AW22" s="18" t="str">
        <f aca="false">IF(OR(AV22="",M22=FALSE()),"",MOD(VALUE(MID(AV22,1,9)),97))</f>
        <v/>
      </c>
      <c r="AX22" s="18" t="str">
        <f aca="false">IF(AW22="","",MOD(VALUE(AW22&amp;MID(AV22,10,7)),97))</f>
        <v/>
      </c>
      <c r="AY22" s="18" t="str">
        <f aca="false">IF(AX22="","",MOD(VALUE(AX22&amp;MID(AV22,17,7)),97))</f>
        <v/>
      </c>
      <c r="AZ22" s="18" t="str">
        <f aca="false">IF(AY22="","",MOD(VALUE(AY22&amp;MID(AV22,24,7)),97))</f>
        <v/>
      </c>
      <c r="BA22" s="18" t="str">
        <f aca="false">IF(AZ22="","",MOD(VALUE(AZ22&amp;MID(AV22,31,7)),97))</f>
        <v/>
      </c>
      <c r="BB22" s="18" t="str">
        <f aca="false">IF(BA22="","",MOD(VALUE(BA22&amp;MID(AV22,38,7)),97))</f>
        <v/>
      </c>
      <c r="BC22" s="18" t="str">
        <f aca="false">IF(BB22="","",MOD(VALUE(BB22&amp;MID(AV22,45,7)),97))</f>
        <v/>
      </c>
      <c r="BD22" s="18" t="str">
        <f aca="false">IF(BC22="","",MOD(VALUE(BC22&amp;MID(AV22,52,7)),97))</f>
        <v/>
      </c>
      <c r="BE22" s="18" t="str">
        <f aca="false">IF(BD22="","",MOD(VALUE(BD22&amp;MID(AV22,59,7)),97))</f>
        <v/>
      </c>
      <c r="BF22" s="18" t="str">
        <f aca="false">IF(BE22="","",MOD(VALUE(BE22&amp;MID(AV22,66,7)),97))</f>
        <v/>
      </c>
    </row>
    <row r="23" customFormat="false" ht="15" hidden="false" customHeight="false" outlineLevel="0" collapsed="false">
      <c r="A23" s="11"/>
      <c r="B23" s="5" t="str">
        <f aca="false">UPPER(SUBSTITUTE(SUBSTITUTE(SUBSTITUTE(TRIM(A23)," ",""),"-",""),CHAR(160),""))</f>
        <v/>
      </c>
      <c r="C23" s="5" t="str">
        <f aca="false">IF(B23="","",LEN(B23))</f>
        <v/>
      </c>
      <c r="D23" s="5" t="str">
        <f aca="false">IF(B23="","",LEFT(B23,2))</f>
        <v/>
      </c>
      <c r="E23" s="5" t="str">
        <f aca="false">IF(B23="","",MID(B23,3,2))</f>
        <v/>
      </c>
      <c r="F23" s="5" t="str">
        <f aca="false">IF(B23="","",MID(B23,5,2))</f>
        <v/>
      </c>
      <c r="G23" s="5" t="str">
        <f aca="false">IF(B23="","",IFERROR(INDEX('رموز البنوك'!$C$5:$C$30,MATCH(F23,'رموز البنوك'!$B$5:$B$30,0)),"رمز غير معروف"))</f>
        <v/>
      </c>
      <c r="H23" s="5" t="str">
        <f aca="false">BF23</f>
        <v/>
      </c>
      <c r="I23" s="5" t="str">
        <f aca="false">IF(OR(H23="",NOT(AND(ISNUMBER(FIND(MID(B23,3,1),"0123456789")),ISNUMBER(FIND(MID(B23,4,1),"0123456789"))))),"",TEXT(98-MOD(H23-VALUE(E23),97),"00"))</f>
        <v/>
      </c>
      <c r="J23" s="4" t="str">
        <f aca="false">IF(B23="","",IF(LEFT(K23,10)="آيبان صحيح","صحيح ✓","غير صحيح ✗"))</f>
        <v/>
      </c>
      <c r="K23" s="10" t="str">
        <f aca="false">IF(B23="","",IF(M23=FALSE(),"يحتوي رموزاً غير مسموحة (المسموح A–Z و 0–9 فقط)",IF(D23&lt;&gt;"SA","رمز الدولة "&amp;D23&amp;" — هذا المدقق للآيبان السعودي SA",IF(C23&lt;&gt;24,"الطول "&amp;C23&amp;" خانة والمطلوب 24",IF(NOT(AND(ISNUMBER(FIND(MID(B23,3,1),"0123456789")),ISNUMBER(FIND(MID(B23,4,1),"0123456789")))),"خانتا التدقيق يجب أن تكونا رقمين",IF(ISERROR(VALUE(MID(B23,5,20))),"رمز البنك ورقم الحساب يجب أن يكونا أرقاماً",IF(H23&lt;&gt;1,"فشل اختبار MOD-97 (الباقي "&amp;H23&amp;" وليس 1) — خطأ في كتابة الرقم؛ خانتا التدقيق الصحيحتان لهذا الحساب "&amp;I23,IF(G23="رمز غير معروف","اجتاز MOD-97 لكن رمز البنك "&amp;F23&amp;" غير مسجل في جدول البنوك","آيبان صحيح — "&amp;G23))))))))</f>
        <v/>
      </c>
      <c r="L23" s="18" t="str">
        <f aca="false">IF(B23="","",MID(B23,5,40)&amp;LEFT(B23,4))</f>
        <v/>
      </c>
      <c r="M23" s="18" t="str">
        <f aca="false">IF(L23="","",NOT(ISNUMBER(FIND("#",AV23))))</f>
        <v/>
      </c>
      <c r="N23" s="18" t="str">
        <f aca="false">IF(LEN($L23)&lt;1,"",IF(ISNUMBER(FIND(MID($L23,1,1),"0123456789")),MID($L23,1,1),IF(ISNUMBER(FIND(MID($L23,1,1),"ABCDEFGHIJKLMNOPQRSTUVWXYZ")),CODE(MID($L23,1,1))-55,"#")))</f>
        <v/>
      </c>
      <c r="O23" s="18" t="str">
        <f aca="false">IF(LEN($L23)&lt;2,"",IF(ISNUMBER(FIND(MID($L23,2,1),"0123456789")),MID($L23,2,1),IF(ISNUMBER(FIND(MID($L23,2,1),"ABCDEFGHIJKLMNOPQRSTUVWXYZ")),CODE(MID($L23,2,1))-55,"#")))</f>
        <v/>
      </c>
      <c r="P23" s="18" t="str">
        <f aca="false">IF(LEN($L23)&lt;3,"",IF(ISNUMBER(FIND(MID($L23,3,1),"0123456789")),MID($L23,3,1),IF(ISNUMBER(FIND(MID($L23,3,1),"ABCDEFGHIJKLMNOPQRSTUVWXYZ")),CODE(MID($L23,3,1))-55,"#")))</f>
        <v/>
      </c>
      <c r="Q23" s="18" t="str">
        <f aca="false">IF(LEN($L23)&lt;4,"",IF(ISNUMBER(FIND(MID($L23,4,1),"0123456789")),MID($L23,4,1),IF(ISNUMBER(FIND(MID($L23,4,1),"ABCDEFGHIJKLMNOPQRSTUVWXYZ")),CODE(MID($L23,4,1))-55,"#")))</f>
        <v/>
      </c>
      <c r="R23" s="18" t="str">
        <f aca="false">IF(LEN($L23)&lt;5,"",IF(ISNUMBER(FIND(MID($L23,5,1),"0123456789")),MID($L23,5,1),IF(ISNUMBER(FIND(MID($L23,5,1),"ABCDEFGHIJKLMNOPQRSTUVWXYZ")),CODE(MID($L23,5,1))-55,"#")))</f>
        <v/>
      </c>
      <c r="S23" s="18" t="str">
        <f aca="false">IF(LEN($L23)&lt;6,"",IF(ISNUMBER(FIND(MID($L23,6,1),"0123456789")),MID($L23,6,1),IF(ISNUMBER(FIND(MID($L23,6,1),"ABCDEFGHIJKLMNOPQRSTUVWXYZ")),CODE(MID($L23,6,1))-55,"#")))</f>
        <v/>
      </c>
      <c r="T23" s="18" t="str">
        <f aca="false">IF(LEN($L23)&lt;7,"",IF(ISNUMBER(FIND(MID($L23,7,1),"0123456789")),MID($L23,7,1),IF(ISNUMBER(FIND(MID($L23,7,1),"ABCDEFGHIJKLMNOPQRSTUVWXYZ")),CODE(MID($L23,7,1))-55,"#")))</f>
        <v/>
      </c>
      <c r="U23" s="18" t="str">
        <f aca="false">IF(LEN($L23)&lt;8,"",IF(ISNUMBER(FIND(MID($L23,8,1),"0123456789")),MID($L23,8,1),IF(ISNUMBER(FIND(MID($L23,8,1),"ABCDEFGHIJKLMNOPQRSTUVWXYZ")),CODE(MID($L23,8,1))-55,"#")))</f>
        <v/>
      </c>
      <c r="V23" s="18" t="str">
        <f aca="false">IF(LEN($L23)&lt;9,"",IF(ISNUMBER(FIND(MID($L23,9,1),"0123456789")),MID($L23,9,1),IF(ISNUMBER(FIND(MID($L23,9,1),"ABCDEFGHIJKLMNOPQRSTUVWXYZ")),CODE(MID($L23,9,1))-55,"#")))</f>
        <v/>
      </c>
      <c r="W23" s="18" t="str">
        <f aca="false">IF(LEN($L23)&lt;10,"",IF(ISNUMBER(FIND(MID($L23,10,1),"0123456789")),MID($L23,10,1),IF(ISNUMBER(FIND(MID($L23,10,1),"ABCDEFGHIJKLMNOPQRSTUVWXYZ")),CODE(MID($L23,10,1))-55,"#")))</f>
        <v/>
      </c>
      <c r="X23" s="18" t="str">
        <f aca="false">IF(LEN($L23)&lt;11,"",IF(ISNUMBER(FIND(MID($L23,11,1),"0123456789")),MID($L23,11,1),IF(ISNUMBER(FIND(MID($L23,11,1),"ABCDEFGHIJKLMNOPQRSTUVWXYZ")),CODE(MID($L23,11,1))-55,"#")))</f>
        <v/>
      </c>
      <c r="Y23" s="18" t="str">
        <f aca="false">IF(LEN($L23)&lt;12,"",IF(ISNUMBER(FIND(MID($L23,12,1),"0123456789")),MID($L23,12,1),IF(ISNUMBER(FIND(MID($L23,12,1),"ABCDEFGHIJKLMNOPQRSTUVWXYZ")),CODE(MID($L23,12,1))-55,"#")))</f>
        <v/>
      </c>
      <c r="Z23" s="18" t="str">
        <f aca="false">IF(LEN($L23)&lt;13,"",IF(ISNUMBER(FIND(MID($L23,13,1),"0123456789")),MID($L23,13,1),IF(ISNUMBER(FIND(MID($L23,13,1),"ABCDEFGHIJKLMNOPQRSTUVWXYZ")),CODE(MID($L23,13,1))-55,"#")))</f>
        <v/>
      </c>
      <c r="AA23" s="18" t="str">
        <f aca="false">IF(LEN($L23)&lt;14,"",IF(ISNUMBER(FIND(MID($L23,14,1),"0123456789")),MID($L23,14,1),IF(ISNUMBER(FIND(MID($L23,14,1),"ABCDEFGHIJKLMNOPQRSTUVWXYZ")),CODE(MID($L23,14,1))-55,"#")))</f>
        <v/>
      </c>
      <c r="AB23" s="18" t="str">
        <f aca="false">IF(LEN($L23)&lt;15,"",IF(ISNUMBER(FIND(MID($L23,15,1),"0123456789")),MID($L23,15,1),IF(ISNUMBER(FIND(MID($L23,15,1),"ABCDEFGHIJKLMNOPQRSTUVWXYZ")),CODE(MID($L23,15,1))-55,"#")))</f>
        <v/>
      </c>
      <c r="AC23" s="18" t="str">
        <f aca="false">IF(LEN($L23)&lt;16,"",IF(ISNUMBER(FIND(MID($L23,16,1),"0123456789")),MID($L23,16,1),IF(ISNUMBER(FIND(MID($L23,16,1),"ABCDEFGHIJKLMNOPQRSTUVWXYZ")),CODE(MID($L23,16,1))-55,"#")))</f>
        <v/>
      </c>
      <c r="AD23" s="18" t="str">
        <f aca="false">IF(LEN($L23)&lt;17,"",IF(ISNUMBER(FIND(MID($L23,17,1),"0123456789")),MID($L23,17,1),IF(ISNUMBER(FIND(MID($L23,17,1),"ABCDEFGHIJKLMNOPQRSTUVWXYZ")),CODE(MID($L23,17,1))-55,"#")))</f>
        <v/>
      </c>
      <c r="AE23" s="18" t="str">
        <f aca="false">IF(LEN($L23)&lt;18,"",IF(ISNUMBER(FIND(MID($L23,18,1),"0123456789")),MID($L23,18,1),IF(ISNUMBER(FIND(MID($L23,18,1),"ABCDEFGHIJKLMNOPQRSTUVWXYZ")),CODE(MID($L23,18,1))-55,"#")))</f>
        <v/>
      </c>
      <c r="AF23" s="18" t="str">
        <f aca="false">IF(LEN($L23)&lt;19,"",IF(ISNUMBER(FIND(MID($L23,19,1),"0123456789")),MID($L23,19,1),IF(ISNUMBER(FIND(MID($L23,19,1),"ABCDEFGHIJKLMNOPQRSTUVWXYZ")),CODE(MID($L23,19,1))-55,"#")))</f>
        <v/>
      </c>
      <c r="AG23" s="18" t="str">
        <f aca="false">IF(LEN($L23)&lt;20,"",IF(ISNUMBER(FIND(MID($L23,20,1),"0123456789")),MID($L23,20,1),IF(ISNUMBER(FIND(MID($L23,20,1),"ABCDEFGHIJKLMNOPQRSTUVWXYZ")),CODE(MID($L23,20,1))-55,"#")))</f>
        <v/>
      </c>
      <c r="AH23" s="18" t="str">
        <f aca="false">IF(LEN($L23)&lt;21,"",IF(ISNUMBER(FIND(MID($L23,21,1),"0123456789")),MID($L23,21,1),IF(ISNUMBER(FIND(MID($L23,21,1),"ABCDEFGHIJKLMNOPQRSTUVWXYZ")),CODE(MID($L23,21,1))-55,"#")))</f>
        <v/>
      </c>
      <c r="AI23" s="18" t="str">
        <f aca="false">IF(LEN($L23)&lt;22,"",IF(ISNUMBER(FIND(MID($L23,22,1),"0123456789")),MID($L23,22,1),IF(ISNUMBER(FIND(MID($L23,22,1),"ABCDEFGHIJKLMNOPQRSTUVWXYZ")),CODE(MID($L23,22,1))-55,"#")))</f>
        <v/>
      </c>
      <c r="AJ23" s="18" t="str">
        <f aca="false">IF(LEN($L23)&lt;23,"",IF(ISNUMBER(FIND(MID($L23,23,1),"0123456789")),MID($L23,23,1),IF(ISNUMBER(FIND(MID($L23,23,1),"ABCDEFGHIJKLMNOPQRSTUVWXYZ")),CODE(MID($L23,23,1))-55,"#")))</f>
        <v/>
      </c>
      <c r="AK23" s="18" t="str">
        <f aca="false">IF(LEN($L23)&lt;24,"",IF(ISNUMBER(FIND(MID($L23,24,1),"0123456789")),MID($L23,24,1),IF(ISNUMBER(FIND(MID($L23,24,1),"ABCDEFGHIJKLMNOPQRSTUVWXYZ")),CODE(MID($L23,24,1))-55,"#")))</f>
        <v/>
      </c>
      <c r="AL23" s="18" t="str">
        <f aca="false">IF(LEN($L23)&lt;25,"",IF(ISNUMBER(FIND(MID($L23,25,1),"0123456789")),MID($L23,25,1),IF(ISNUMBER(FIND(MID($L23,25,1),"ABCDEFGHIJKLMNOPQRSTUVWXYZ")),CODE(MID($L23,25,1))-55,"#")))</f>
        <v/>
      </c>
      <c r="AM23" s="18" t="str">
        <f aca="false">IF(LEN($L23)&lt;26,"",IF(ISNUMBER(FIND(MID($L23,26,1),"0123456789")),MID($L23,26,1),IF(ISNUMBER(FIND(MID($L23,26,1),"ABCDEFGHIJKLMNOPQRSTUVWXYZ")),CODE(MID($L23,26,1))-55,"#")))</f>
        <v/>
      </c>
      <c r="AN23" s="18" t="str">
        <f aca="false">IF(LEN($L23)&lt;27,"",IF(ISNUMBER(FIND(MID($L23,27,1),"0123456789")),MID($L23,27,1),IF(ISNUMBER(FIND(MID($L23,27,1),"ABCDEFGHIJKLMNOPQRSTUVWXYZ")),CODE(MID($L23,27,1))-55,"#")))</f>
        <v/>
      </c>
      <c r="AO23" s="18" t="str">
        <f aca="false">IF(LEN($L23)&lt;28,"",IF(ISNUMBER(FIND(MID($L23,28,1),"0123456789")),MID($L23,28,1),IF(ISNUMBER(FIND(MID($L23,28,1),"ABCDEFGHIJKLMNOPQRSTUVWXYZ")),CODE(MID($L23,28,1))-55,"#")))</f>
        <v/>
      </c>
      <c r="AP23" s="18" t="str">
        <f aca="false">IF(LEN($L23)&lt;29,"",IF(ISNUMBER(FIND(MID($L23,29,1),"0123456789")),MID($L23,29,1),IF(ISNUMBER(FIND(MID($L23,29,1),"ABCDEFGHIJKLMNOPQRSTUVWXYZ")),CODE(MID($L23,29,1))-55,"#")))</f>
        <v/>
      </c>
      <c r="AQ23" s="18" t="str">
        <f aca="false">IF(LEN($L23)&lt;30,"",IF(ISNUMBER(FIND(MID($L23,30,1),"0123456789")),MID($L23,30,1),IF(ISNUMBER(FIND(MID($L23,30,1),"ABCDEFGHIJKLMNOPQRSTUVWXYZ")),CODE(MID($L23,30,1))-55,"#")))</f>
        <v/>
      </c>
      <c r="AR23" s="18" t="str">
        <f aca="false">IF(LEN($L23)&lt;31,"",IF(ISNUMBER(FIND(MID($L23,31,1),"0123456789")),MID($L23,31,1),IF(ISNUMBER(FIND(MID($L23,31,1),"ABCDEFGHIJKLMNOPQRSTUVWXYZ")),CODE(MID($L23,31,1))-55,"#")))</f>
        <v/>
      </c>
      <c r="AS23" s="18" t="str">
        <f aca="false">IF(LEN($L23)&lt;32,"",IF(ISNUMBER(FIND(MID($L23,32,1),"0123456789")),MID($L23,32,1),IF(ISNUMBER(FIND(MID($L23,32,1),"ABCDEFGHIJKLMNOPQRSTUVWXYZ")),CODE(MID($L23,32,1))-55,"#")))</f>
        <v/>
      </c>
      <c r="AT23" s="18" t="str">
        <f aca="false">IF(LEN($L23)&lt;33,"",IF(ISNUMBER(FIND(MID($L23,33,1),"0123456789")),MID($L23,33,1),IF(ISNUMBER(FIND(MID($L23,33,1),"ABCDEFGHIJKLMNOPQRSTUVWXYZ")),CODE(MID($L23,33,1))-55,"#")))</f>
        <v/>
      </c>
      <c r="AU23" s="18" t="str">
        <f aca="false">IF(LEN($L23)&lt;34,"",IF(ISNUMBER(FIND(MID($L23,34,1),"0123456789")),MID($L23,34,1),IF(ISNUMBER(FIND(MID($L23,34,1),"ABCDEFGHIJKLMNOPQRSTUVWXYZ")),CODE(MID($L23,34,1))-55,"#")))</f>
        <v/>
      </c>
      <c r="AV23" s="18" t="str">
        <f aca="false">_xlfn.CONCAT(N23:AU23)</f>
        <v/>
      </c>
      <c r="AW23" s="18" t="str">
        <f aca="false">IF(OR(AV23="",M23=FALSE()),"",MOD(VALUE(MID(AV23,1,9)),97))</f>
        <v/>
      </c>
      <c r="AX23" s="18" t="str">
        <f aca="false">IF(AW23="","",MOD(VALUE(AW23&amp;MID(AV23,10,7)),97))</f>
        <v/>
      </c>
      <c r="AY23" s="18" t="str">
        <f aca="false">IF(AX23="","",MOD(VALUE(AX23&amp;MID(AV23,17,7)),97))</f>
        <v/>
      </c>
      <c r="AZ23" s="18" t="str">
        <f aca="false">IF(AY23="","",MOD(VALUE(AY23&amp;MID(AV23,24,7)),97))</f>
        <v/>
      </c>
      <c r="BA23" s="18" t="str">
        <f aca="false">IF(AZ23="","",MOD(VALUE(AZ23&amp;MID(AV23,31,7)),97))</f>
        <v/>
      </c>
      <c r="BB23" s="18" t="str">
        <f aca="false">IF(BA23="","",MOD(VALUE(BA23&amp;MID(AV23,38,7)),97))</f>
        <v/>
      </c>
      <c r="BC23" s="18" t="str">
        <f aca="false">IF(BB23="","",MOD(VALUE(BB23&amp;MID(AV23,45,7)),97))</f>
        <v/>
      </c>
      <c r="BD23" s="18" t="str">
        <f aca="false">IF(BC23="","",MOD(VALUE(BC23&amp;MID(AV23,52,7)),97))</f>
        <v/>
      </c>
      <c r="BE23" s="18" t="str">
        <f aca="false">IF(BD23="","",MOD(VALUE(BD23&amp;MID(AV23,59,7)),97))</f>
        <v/>
      </c>
      <c r="BF23" s="18" t="str">
        <f aca="false">IF(BE23="","",MOD(VALUE(BE23&amp;MID(AV23,66,7)),97))</f>
        <v/>
      </c>
    </row>
    <row r="24" customFormat="false" ht="15" hidden="false" customHeight="false" outlineLevel="0" collapsed="false">
      <c r="A24" s="11"/>
      <c r="B24" s="5" t="str">
        <f aca="false">UPPER(SUBSTITUTE(SUBSTITUTE(SUBSTITUTE(TRIM(A24)," ",""),"-",""),CHAR(160),""))</f>
        <v/>
      </c>
      <c r="C24" s="5" t="str">
        <f aca="false">IF(B24="","",LEN(B24))</f>
        <v/>
      </c>
      <c r="D24" s="5" t="str">
        <f aca="false">IF(B24="","",LEFT(B24,2))</f>
        <v/>
      </c>
      <c r="E24" s="5" t="str">
        <f aca="false">IF(B24="","",MID(B24,3,2))</f>
        <v/>
      </c>
      <c r="F24" s="5" t="str">
        <f aca="false">IF(B24="","",MID(B24,5,2))</f>
        <v/>
      </c>
      <c r="G24" s="5" t="str">
        <f aca="false">IF(B24="","",IFERROR(INDEX('رموز البنوك'!$C$5:$C$30,MATCH(F24,'رموز البنوك'!$B$5:$B$30,0)),"رمز غير معروف"))</f>
        <v/>
      </c>
      <c r="H24" s="5" t="str">
        <f aca="false">BF24</f>
        <v/>
      </c>
      <c r="I24" s="5" t="str">
        <f aca="false">IF(OR(H24="",NOT(AND(ISNUMBER(FIND(MID(B24,3,1),"0123456789")),ISNUMBER(FIND(MID(B24,4,1),"0123456789"))))),"",TEXT(98-MOD(H24-VALUE(E24),97),"00"))</f>
        <v/>
      </c>
      <c r="J24" s="4" t="str">
        <f aca="false">IF(B24="","",IF(LEFT(K24,10)="آيبان صحيح","صحيح ✓","غير صحيح ✗"))</f>
        <v/>
      </c>
      <c r="K24" s="10" t="str">
        <f aca="false">IF(B24="","",IF(M24=FALSE(),"يحتوي رموزاً غير مسموحة (المسموح A–Z و 0–9 فقط)",IF(D24&lt;&gt;"SA","رمز الدولة "&amp;D24&amp;" — هذا المدقق للآيبان السعودي SA",IF(C24&lt;&gt;24,"الطول "&amp;C24&amp;" خانة والمطلوب 24",IF(NOT(AND(ISNUMBER(FIND(MID(B24,3,1),"0123456789")),ISNUMBER(FIND(MID(B24,4,1),"0123456789")))),"خانتا التدقيق يجب أن تكونا رقمين",IF(ISERROR(VALUE(MID(B24,5,20))),"رمز البنك ورقم الحساب يجب أن يكونا أرقاماً",IF(H24&lt;&gt;1,"فشل اختبار MOD-97 (الباقي "&amp;H24&amp;" وليس 1) — خطأ في كتابة الرقم؛ خانتا التدقيق الصحيحتان لهذا الحساب "&amp;I24,IF(G24="رمز غير معروف","اجتاز MOD-97 لكن رمز البنك "&amp;F24&amp;" غير مسجل في جدول البنوك","آيبان صحيح — "&amp;G24))))))))</f>
        <v/>
      </c>
      <c r="L24" s="18" t="str">
        <f aca="false">IF(B24="","",MID(B24,5,40)&amp;LEFT(B24,4))</f>
        <v/>
      </c>
      <c r="M24" s="18" t="str">
        <f aca="false">IF(L24="","",NOT(ISNUMBER(FIND("#",AV24))))</f>
        <v/>
      </c>
      <c r="N24" s="18" t="str">
        <f aca="false">IF(LEN($L24)&lt;1,"",IF(ISNUMBER(FIND(MID($L24,1,1),"0123456789")),MID($L24,1,1),IF(ISNUMBER(FIND(MID($L24,1,1),"ABCDEFGHIJKLMNOPQRSTUVWXYZ")),CODE(MID($L24,1,1))-55,"#")))</f>
        <v/>
      </c>
      <c r="O24" s="18" t="str">
        <f aca="false">IF(LEN($L24)&lt;2,"",IF(ISNUMBER(FIND(MID($L24,2,1),"0123456789")),MID($L24,2,1),IF(ISNUMBER(FIND(MID($L24,2,1),"ABCDEFGHIJKLMNOPQRSTUVWXYZ")),CODE(MID($L24,2,1))-55,"#")))</f>
        <v/>
      </c>
      <c r="P24" s="18" t="str">
        <f aca="false">IF(LEN($L24)&lt;3,"",IF(ISNUMBER(FIND(MID($L24,3,1),"0123456789")),MID($L24,3,1),IF(ISNUMBER(FIND(MID($L24,3,1),"ABCDEFGHIJKLMNOPQRSTUVWXYZ")),CODE(MID($L24,3,1))-55,"#")))</f>
        <v/>
      </c>
      <c r="Q24" s="18" t="str">
        <f aca="false">IF(LEN($L24)&lt;4,"",IF(ISNUMBER(FIND(MID($L24,4,1),"0123456789")),MID($L24,4,1),IF(ISNUMBER(FIND(MID($L24,4,1),"ABCDEFGHIJKLMNOPQRSTUVWXYZ")),CODE(MID($L24,4,1))-55,"#")))</f>
        <v/>
      </c>
      <c r="R24" s="18" t="str">
        <f aca="false">IF(LEN($L24)&lt;5,"",IF(ISNUMBER(FIND(MID($L24,5,1),"0123456789")),MID($L24,5,1),IF(ISNUMBER(FIND(MID($L24,5,1),"ABCDEFGHIJKLMNOPQRSTUVWXYZ")),CODE(MID($L24,5,1))-55,"#")))</f>
        <v/>
      </c>
      <c r="S24" s="18" t="str">
        <f aca="false">IF(LEN($L24)&lt;6,"",IF(ISNUMBER(FIND(MID($L24,6,1),"0123456789")),MID($L24,6,1),IF(ISNUMBER(FIND(MID($L24,6,1),"ABCDEFGHIJKLMNOPQRSTUVWXYZ")),CODE(MID($L24,6,1))-55,"#")))</f>
        <v/>
      </c>
      <c r="T24" s="18" t="str">
        <f aca="false">IF(LEN($L24)&lt;7,"",IF(ISNUMBER(FIND(MID($L24,7,1),"0123456789")),MID($L24,7,1),IF(ISNUMBER(FIND(MID($L24,7,1),"ABCDEFGHIJKLMNOPQRSTUVWXYZ")),CODE(MID($L24,7,1))-55,"#")))</f>
        <v/>
      </c>
      <c r="U24" s="18" t="str">
        <f aca="false">IF(LEN($L24)&lt;8,"",IF(ISNUMBER(FIND(MID($L24,8,1),"0123456789")),MID($L24,8,1),IF(ISNUMBER(FIND(MID($L24,8,1),"ABCDEFGHIJKLMNOPQRSTUVWXYZ")),CODE(MID($L24,8,1))-55,"#")))</f>
        <v/>
      </c>
      <c r="V24" s="18" t="str">
        <f aca="false">IF(LEN($L24)&lt;9,"",IF(ISNUMBER(FIND(MID($L24,9,1),"0123456789")),MID($L24,9,1),IF(ISNUMBER(FIND(MID($L24,9,1),"ABCDEFGHIJKLMNOPQRSTUVWXYZ")),CODE(MID($L24,9,1))-55,"#")))</f>
        <v/>
      </c>
      <c r="W24" s="18" t="str">
        <f aca="false">IF(LEN($L24)&lt;10,"",IF(ISNUMBER(FIND(MID($L24,10,1),"0123456789")),MID($L24,10,1),IF(ISNUMBER(FIND(MID($L24,10,1),"ABCDEFGHIJKLMNOPQRSTUVWXYZ")),CODE(MID($L24,10,1))-55,"#")))</f>
        <v/>
      </c>
      <c r="X24" s="18" t="str">
        <f aca="false">IF(LEN($L24)&lt;11,"",IF(ISNUMBER(FIND(MID($L24,11,1),"0123456789")),MID($L24,11,1),IF(ISNUMBER(FIND(MID($L24,11,1),"ABCDEFGHIJKLMNOPQRSTUVWXYZ")),CODE(MID($L24,11,1))-55,"#")))</f>
        <v/>
      </c>
      <c r="Y24" s="18" t="str">
        <f aca="false">IF(LEN($L24)&lt;12,"",IF(ISNUMBER(FIND(MID($L24,12,1),"0123456789")),MID($L24,12,1),IF(ISNUMBER(FIND(MID($L24,12,1),"ABCDEFGHIJKLMNOPQRSTUVWXYZ")),CODE(MID($L24,12,1))-55,"#")))</f>
        <v/>
      </c>
      <c r="Z24" s="18" t="str">
        <f aca="false">IF(LEN($L24)&lt;13,"",IF(ISNUMBER(FIND(MID($L24,13,1),"0123456789")),MID($L24,13,1),IF(ISNUMBER(FIND(MID($L24,13,1),"ABCDEFGHIJKLMNOPQRSTUVWXYZ")),CODE(MID($L24,13,1))-55,"#")))</f>
        <v/>
      </c>
      <c r="AA24" s="18" t="str">
        <f aca="false">IF(LEN($L24)&lt;14,"",IF(ISNUMBER(FIND(MID($L24,14,1),"0123456789")),MID($L24,14,1),IF(ISNUMBER(FIND(MID($L24,14,1),"ABCDEFGHIJKLMNOPQRSTUVWXYZ")),CODE(MID($L24,14,1))-55,"#")))</f>
        <v/>
      </c>
      <c r="AB24" s="18" t="str">
        <f aca="false">IF(LEN($L24)&lt;15,"",IF(ISNUMBER(FIND(MID($L24,15,1),"0123456789")),MID($L24,15,1),IF(ISNUMBER(FIND(MID($L24,15,1),"ABCDEFGHIJKLMNOPQRSTUVWXYZ")),CODE(MID($L24,15,1))-55,"#")))</f>
        <v/>
      </c>
      <c r="AC24" s="18" t="str">
        <f aca="false">IF(LEN($L24)&lt;16,"",IF(ISNUMBER(FIND(MID($L24,16,1),"0123456789")),MID($L24,16,1),IF(ISNUMBER(FIND(MID($L24,16,1),"ABCDEFGHIJKLMNOPQRSTUVWXYZ")),CODE(MID($L24,16,1))-55,"#")))</f>
        <v/>
      </c>
      <c r="AD24" s="18" t="str">
        <f aca="false">IF(LEN($L24)&lt;17,"",IF(ISNUMBER(FIND(MID($L24,17,1),"0123456789")),MID($L24,17,1),IF(ISNUMBER(FIND(MID($L24,17,1),"ABCDEFGHIJKLMNOPQRSTUVWXYZ")),CODE(MID($L24,17,1))-55,"#")))</f>
        <v/>
      </c>
      <c r="AE24" s="18" t="str">
        <f aca="false">IF(LEN($L24)&lt;18,"",IF(ISNUMBER(FIND(MID($L24,18,1),"0123456789")),MID($L24,18,1),IF(ISNUMBER(FIND(MID($L24,18,1),"ABCDEFGHIJKLMNOPQRSTUVWXYZ")),CODE(MID($L24,18,1))-55,"#")))</f>
        <v/>
      </c>
      <c r="AF24" s="18" t="str">
        <f aca="false">IF(LEN($L24)&lt;19,"",IF(ISNUMBER(FIND(MID($L24,19,1),"0123456789")),MID($L24,19,1),IF(ISNUMBER(FIND(MID($L24,19,1),"ABCDEFGHIJKLMNOPQRSTUVWXYZ")),CODE(MID($L24,19,1))-55,"#")))</f>
        <v/>
      </c>
      <c r="AG24" s="18" t="str">
        <f aca="false">IF(LEN($L24)&lt;20,"",IF(ISNUMBER(FIND(MID($L24,20,1),"0123456789")),MID($L24,20,1),IF(ISNUMBER(FIND(MID($L24,20,1),"ABCDEFGHIJKLMNOPQRSTUVWXYZ")),CODE(MID($L24,20,1))-55,"#")))</f>
        <v/>
      </c>
      <c r="AH24" s="18" t="str">
        <f aca="false">IF(LEN($L24)&lt;21,"",IF(ISNUMBER(FIND(MID($L24,21,1),"0123456789")),MID($L24,21,1),IF(ISNUMBER(FIND(MID($L24,21,1),"ABCDEFGHIJKLMNOPQRSTUVWXYZ")),CODE(MID($L24,21,1))-55,"#")))</f>
        <v/>
      </c>
      <c r="AI24" s="18" t="str">
        <f aca="false">IF(LEN($L24)&lt;22,"",IF(ISNUMBER(FIND(MID($L24,22,1),"0123456789")),MID($L24,22,1),IF(ISNUMBER(FIND(MID($L24,22,1),"ABCDEFGHIJKLMNOPQRSTUVWXYZ")),CODE(MID($L24,22,1))-55,"#")))</f>
        <v/>
      </c>
      <c r="AJ24" s="18" t="str">
        <f aca="false">IF(LEN($L24)&lt;23,"",IF(ISNUMBER(FIND(MID($L24,23,1),"0123456789")),MID($L24,23,1),IF(ISNUMBER(FIND(MID($L24,23,1),"ABCDEFGHIJKLMNOPQRSTUVWXYZ")),CODE(MID($L24,23,1))-55,"#")))</f>
        <v/>
      </c>
      <c r="AK24" s="18" t="str">
        <f aca="false">IF(LEN($L24)&lt;24,"",IF(ISNUMBER(FIND(MID($L24,24,1),"0123456789")),MID($L24,24,1),IF(ISNUMBER(FIND(MID($L24,24,1),"ABCDEFGHIJKLMNOPQRSTUVWXYZ")),CODE(MID($L24,24,1))-55,"#")))</f>
        <v/>
      </c>
      <c r="AL24" s="18" t="str">
        <f aca="false">IF(LEN($L24)&lt;25,"",IF(ISNUMBER(FIND(MID($L24,25,1),"0123456789")),MID($L24,25,1),IF(ISNUMBER(FIND(MID($L24,25,1),"ABCDEFGHIJKLMNOPQRSTUVWXYZ")),CODE(MID($L24,25,1))-55,"#")))</f>
        <v/>
      </c>
      <c r="AM24" s="18" t="str">
        <f aca="false">IF(LEN($L24)&lt;26,"",IF(ISNUMBER(FIND(MID($L24,26,1),"0123456789")),MID($L24,26,1),IF(ISNUMBER(FIND(MID($L24,26,1),"ABCDEFGHIJKLMNOPQRSTUVWXYZ")),CODE(MID($L24,26,1))-55,"#")))</f>
        <v/>
      </c>
      <c r="AN24" s="18" t="str">
        <f aca="false">IF(LEN($L24)&lt;27,"",IF(ISNUMBER(FIND(MID($L24,27,1),"0123456789")),MID($L24,27,1),IF(ISNUMBER(FIND(MID($L24,27,1),"ABCDEFGHIJKLMNOPQRSTUVWXYZ")),CODE(MID($L24,27,1))-55,"#")))</f>
        <v/>
      </c>
      <c r="AO24" s="18" t="str">
        <f aca="false">IF(LEN($L24)&lt;28,"",IF(ISNUMBER(FIND(MID($L24,28,1),"0123456789")),MID($L24,28,1),IF(ISNUMBER(FIND(MID($L24,28,1),"ABCDEFGHIJKLMNOPQRSTUVWXYZ")),CODE(MID($L24,28,1))-55,"#")))</f>
        <v/>
      </c>
      <c r="AP24" s="18" t="str">
        <f aca="false">IF(LEN($L24)&lt;29,"",IF(ISNUMBER(FIND(MID($L24,29,1),"0123456789")),MID($L24,29,1),IF(ISNUMBER(FIND(MID($L24,29,1),"ABCDEFGHIJKLMNOPQRSTUVWXYZ")),CODE(MID($L24,29,1))-55,"#")))</f>
        <v/>
      </c>
      <c r="AQ24" s="18" t="str">
        <f aca="false">IF(LEN($L24)&lt;30,"",IF(ISNUMBER(FIND(MID($L24,30,1),"0123456789")),MID($L24,30,1),IF(ISNUMBER(FIND(MID($L24,30,1),"ABCDEFGHIJKLMNOPQRSTUVWXYZ")),CODE(MID($L24,30,1))-55,"#")))</f>
        <v/>
      </c>
      <c r="AR24" s="18" t="str">
        <f aca="false">IF(LEN($L24)&lt;31,"",IF(ISNUMBER(FIND(MID($L24,31,1),"0123456789")),MID($L24,31,1),IF(ISNUMBER(FIND(MID($L24,31,1),"ABCDEFGHIJKLMNOPQRSTUVWXYZ")),CODE(MID($L24,31,1))-55,"#")))</f>
        <v/>
      </c>
      <c r="AS24" s="18" t="str">
        <f aca="false">IF(LEN($L24)&lt;32,"",IF(ISNUMBER(FIND(MID($L24,32,1),"0123456789")),MID($L24,32,1),IF(ISNUMBER(FIND(MID($L24,32,1),"ABCDEFGHIJKLMNOPQRSTUVWXYZ")),CODE(MID($L24,32,1))-55,"#")))</f>
        <v/>
      </c>
      <c r="AT24" s="18" t="str">
        <f aca="false">IF(LEN($L24)&lt;33,"",IF(ISNUMBER(FIND(MID($L24,33,1),"0123456789")),MID($L24,33,1),IF(ISNUMBER(FIND(MID($L24,33,1),"ABCDEFGHIJKLMNOPQRSTUVWXYZ")),CODE(MID($L24,33,1))-55,"#")))</f>
        <v/>
      </c>
      <c r="AU24" s="18" t="str">
        <f aca="false">IF(LEN($L24)&lt;34,"",IF(ISNUMBER(FIND(MID($L24,34,1),"0123456789")),MID($L24,34,1),IF(ISNUMBER(FIND(MID($L24,34,1),"ABCDEFGHIJKLMNOPQRSTUVWXYZ")),CODE(MID($L24,34,1))-55,"#")))</f>
        <v/>
      </c>
      <c r="AV24" s="18" t="str">
        <f aca="false">_xlfn.CONCAT(N24:AU24)</f>
        <v/>
      </c>
      <c r="AW24" s="18" t="str">
        <f aca="false">IF(OR(AV24="",M24=FALSE()),"",MOD(VALUE(MID(AV24,1,9)),97))</f>
        <v/>
      </c>
      <c r="AX24" s="18" t="str">
        <f aca="false">IF(AW24="","",MOD(VALUE(AW24&amp;MID(AV24,10,7)),97))</f>
        <v/>
      </c>
      <c r="AY24" s="18" t="str">
        <f aca="false">IF(AX24="","",MOD(VALUE(AX24&amp;MID(AV24,17,7)),97))</f>
        <v/>
      </c>
      <c r="AZ24" s="18" t="str">
        <f aca="false">IF(AY24="","",MOD(VALUE(AY24&amp;MID(AV24,24,7)),97))</f>
        <v/>
      </c>
      <c r="BA24" s="18" t="str">
        <f aca="false">IF(AZ24="","",MOD(VALUE(AZ24&amp;MID(AV24,31,7)),97))</f>
        <v/>
      </c>
      <c r="BB24" s="18" t="str">
        <f aca="false">IF(BA24="","",MOD(VALUE(BA24&amp;MID(AV24,38,7)),97))</f>
        <v/>
      </c>
      <c r="BC24" s="18" t="str">
        <f aca="false">IF(BB24="","",MOD(VALUE(BB24&amp;MID(AV24,45,7)),97))</f>
        <v/>
      </c>
      <c r="BD24" s="18" t="str">
        <f aca="false">IF(BC24="","",MOD(VALUE(BC24&amp;MID(AV24,52,7)),97))</f>
        <v/>
      </c>
      <c r="BE24" s="18" t="str">
        <f aca="false">IF(BD24="","",MOD(VALUE(BD24&amp;MID(AV24,59,7)),97))</f>
        <v/>
      </c>
      <c r="BF24" s="18" t="str">
        <f aca="false">IF(BE24="","",MOD(VALUE(BE24&amp;MID(AV24,66,7)),97))</f>
        <v/>
      </c>
    </row>
    <row r="25" customFormat="false" ht="15" hidden="false" customHeight="false" outlineLevel="0" collapsed="false">
      <c r="A25" s="11"/>
      <c r="B25" s="5" t="str">
        <f aca="false">UPPER(SUBSTITUTE(SUBSTITUTE(SUBSTITUTE(TRIM(A25)," ",""),"-",""),CHAR(160),""))</f>
        <v/>
      </c>
      <c r="C25" s="5" t="str">
        <f aca="false">IF(B25="","",LEN(B25))</f>
        <v/>
      </c>
      <c r="D25" s="5" t="str">
        <f aca="false">IF(B25="","",LEFT(B25,2))</f>
        <v/>
      </c>
      <c r="E25" s="5" t="str">
        <f aca="false">IF(B25="","",MID(B25,3,2))</f>
        <v/>
      </c>
      <c r="F25" s="5" t="str">
        <f aca="false">IF(B25="","",MID(B25,5,2))</f>
        <v/>
      </c>
      <c r="G25" s="5" t="str">
        <f aca="false">IF(B25="","",IFERROR(INDEX('رموز البنوك'!$C$5:$C$30,MATCH(F25,'رموز البنوك'!$B$5:$B$30,0)),"رمز غير معروف"))</f>
        <v/>
      </c>
      <c r="H25" s="5" t="str">
        <f aca="false">BF25</f>
        <v/>
      </c>
      <c r="I25" s="5" t="str">
        <f aca="false">IF(OR(H25="",NOT(AND(ISNUMBER(FIND(MID(B25,3,1),"0123456789")),ISNUMBER(FIND(MID(B25,4,1),"0123456789"))))),"",TEXT(98-MOD(H25-VALUE(E25),97),"00"))</f>
        <v/>
      </c>
      <c r="J25" s="4" t="str">
        <f aca="false">IF(B25="","",IF(LEFT(K25,10)="آيبان صحيح","صحيح ✓","غير صحيح ✗"))</f>
        <v/>
      </c>
      <c r="K25" s="10" t="str">
        <f aca="false">IF(B25="","",IF(M25=FALSE(),"يحتوي رموزاً غير مسموحة (المسموح A–Z و 0–9 فقط)",IF(D25&lt;&gt;"SA","رمز الدولة "&amp;D25&amp;" — هذا المدقق للآيبان السعودي SA",IF(C25&lt;&gt;24,"الطول "&amp;C25&amp;" خانة والمطلوب 24",IF(NOT(AND(ISNUMBER(FIND(MID(B25,3,1),"0123456789")),ISNUMBER(FIND(MID(B25,4,1),"0123456789")))),"خانتا التدقيق يجب أن تكونا رقمين",IF(ISERROR(VALUE(MID(B25,5,20))),"رمز البنك ورقم الحساب يجب أن يكونا أرقاماً",IF(H25&lt;&gt;1,"فشل اختبار MOD-97 (الباقي "&amp;H25&amp;" وليس 1) — خطأ في كتابة الرقم؛ خانتا التدقيق الصحيحتان لهذا الحساب "&amp;I25,IF(G25="رمز غير معروف","اجتاز MOD-97 لكن رمز البنك "&amp;F25&amp;" غير مسجل في جدول البنوك","آيبان صحيح — "&amp;G25))))))))</f>
        <v/>
      </c>
      <c r="L25" s="18" t="str">
        <f aca="false">IF(B25="","",MID(B25,5,40)&amp;LEFT(B25,4))</f>
        <v/>
      </c>
      <c r="M25" s="18" t="str">
        <f aca="false">IF(L25="","",NOT(ISNUMBER(FIND("#",AV25))))</f>
        <v/>
      </c>
      <c r="N25" s="18" t="str">
        <f aca="false">IF(LEN($L25)&lt;1,"",IF(ISNUMBER(FIND(MID($L25,1,1),"0123456789")),MID($L25,1,1),IF(ISNUMBER(FIND(MID($L25,1,1),"ABCDEFGHIJKLMNOPQRSTUVWXYZ")),CODE(MID($L25,1,1))-55,"#")))</f>
        <v/>
      </c>
      <c r="O25" s="18" t="str">
        <f aca="false">IF(LEN($L25)&lt;2,"",IF(ISNUMBER(FIND(MID($L25,2,1),"0123456789")),MID($L25,2,1),IF(ISNUMBER(FIND(MID($L25,2,1),"ABCDEFGHIJKLMNOPQRSTUVWXYZ")),CODE(MID($L25,2,1))-55,"#")))</f>
        <v/>
      </c>
      <c r="P25" s="18" t="str">
        <f aca="false">IF(LEN($L25)&lt;3,"",IF(ISNUMBER(FIND(MID($L25,3,1),"0123456789")),MID($L25,3,1),IF(ISNUMBER(FIND(MID($L25,3,1),"ABCDEFGHIJKLMNOPQRSTUVWXYZ")),CODE(MID($L25,3,1))-55,"#")))</f>
        <v/>
      </c>
      <c r="Q25" s="18" t="str">
        <f aca="false">IF(LEN($L25)&lt;4,"",IF(ISNUMBER(FIND(MID($L25,4,1),"0123456789")),MID($L25,4,1),IF(ISNUMBER(FIND(MID($L25,4,1),"ABCDEFGHIJKLMNOPQRSTUVWXYZ")),CODE(MID($L25,4,1))-55,"#")))</f>
        <v/>
      </c>
      <c r="R25" s="18" t="str">
        <f aca="false">IF(LEN($L25)&lt;5,"",IF(ISNUMBER(FIND(MID($L25,5,1),"0123456789")),MID($L25,5,1),IF(ISNUMBER(FIND(MID($L25,5,1),"ABCDEFGHIJKLMNOPQRSTUVWXYZ")),CODE(MID($L25,5,1))-55,"#")))</f>
        <v/>
      </c>
      <c r="S25" s="18" t="str">
        <f aca="false">IF(LEN($L25)&lt;6,"",IF(ISNUMBER(FIND(MID($L25,6,1),"0123456789")),MID($L25,6,1),IF(ISNUMBER(FIND(MID($L25,6,1),"ABCDEFGHIJKLMNOPQRSTUVWXYZ")),CODE(MID($L25,6,1))-55,"#")))</f>
        <v/>
      </c>
      <c r="T25" s="18" t="str">
        <f aca="false">IF(LEN($L25)&lt;7,"",IF(ISNUMBER(FIND(MID($L25,7,1),"0123456789")),MID($L25,7,1),IF(ISNUMBER(FIND(MID($L25,7,1),"ABCDEFGHIJKLMNOPQRSTUVWXYZ")),CODE(MID($L25,7,1))-55,"#")))</f>
        <v/>
      </c>
      <c r="U25" s="18" t="str">
        <f aca="false">IF(LEN($L25)&lt;8,"",IF(ISNUMBER(FIND(MID($L25,8,1),"0123456789")),MID($L25,8,1),IF(ISNUMBER(FIND(MID($L25,8,1),"ABCDEFGHIJKLMNOPQRSTUVWXYZ")),CODE(MID($L25,8,1))-55,"#")))</f>
        <v/>
      </c>
      <c r="V25" s="18" t="str">
        <f aca="false">IF(LEN($L25)&lt;9,"",IF(ISNUMBER(FIND(MID($L25,9,1),"0123456789")),MID($L25,9,1),IF(ISNUMBER(FIND(MID($L25,9,1),"ABCDEFGHIJKLMNOPQRSTUVWXYZ")),CODE(MID($L25,9,1))-55,"#")))</f>
        <v/>
      </c>
      <c r="W25" s="18" t="str">
        <f aca="false">IF(LEN($L25)&lt;10,"",IF(ISNUMBER(FIND(MID($L25,10,1),"0123456789")),MID($L25,10,1),IF(ISNUMBER(FIND(MID($L25,10,1),"ABCDEFGHIJKLMNOPQRSTUVWXYZ")),CODE(MID($L25,10,1))-55,"#")))</f>
        <v/>
      </c>
      <c r="X25" s="18" t="str">
        <f aca="false">IF(LEN($L25)&lt;11,"",IF(ISNUMBER(FIND(MID($L25,11,1),"0123456789")),MID($L25,11,1),IF(ISNUMBER(FIND(MID($L25,11,1),"ABCDEFGHIJKLMNOPQRSTUVWXYZ")),CODE(MID($L25,11,1))-55,"#")))</f>
        <v/>
      </c>
      <c r="Y25" s="18" t="str">
        <f aca="false">IF(LEN($L25)&lt;12,"",IF(ISNUMBER(FIND(MID($L25,12,1),"0123456789")),MID($L25,12,1),IF(ISNUMBER(FIND(MID($L25,12,1),"ABCDEFGHIJKLMNOPQRSTUVWXYZ")),CODE(MID($L25,12,1))-55,"#")))</f>
        <v/>
      </c>
      <c r="Z25" s="18" t="str">
        <f aca="false">IF(LEN($L25)&lt;13,"",IF(ISNUMBER(FIND(MID($L25,13,1),"0123456789")),MID($L25,13,1),IF(ISNUMBER(FIND(MID($L25,13,1),"ABCDEFGHIJKLMNOPQRSTUVWXYZ")),CODE(MID($L25,13,1))-55,"#")))</f>
        <v/>
      </c>
      <c r="AA25" s="18" t="str">
        <f aca="false">IF(LEN($L25)&lt;14,"",IF(ISNUMBER(FIND(MID($L25,14,1),"0123456789")),MID($L25,14,1),IF(ISNUMBER(FIND(MID($L25,14,1),"ABCDEFGHIJKLMNOPQRSTUVWXYZ")),CODE(MID($L25,14,1))-55,"#")))</f>
        <v/>
      </c>
      <c r="AB25" s="18" t="str">
        <f aca="false">IF(LEN($L25)&lt;15,"",IF(ISNUMBER(FIND(MID($L25,15,1),"0123456789")),MID($L25,15,1),IF(ISNUMBER(FIND(MID($L25,15,1),"ABCDEFGHIJKLMNOPQRSTUVWXYZ")),CODE(MID($L25,15,1))-55,"#")))</f>
        <v/>
      </c>
      <c r="AC25" s="18" t="str">
        <f aca="false">IF(LEN($L25)&lt;16,"",IF(ISNUMBER(FIND(MID($L25,16,1),"0123456789")),MID($L25,16,1),IF(ISNUMBER(FIND(MID($L25,16,1),"ABCDEFGHIJKLMNOPQRSTUVWXYZ")),CODE(MID($L25,16,1))-55,"#")))</f>
        <v/>
      </c>
      <c r="AD25" s="18" t="str">
        <f aca="false">IF(LEN($L25)&lt;17,"",IF(ISNUMBER(FIND(MID($L25,17,1),"0123456789")),MID($L25,17,1),IF(ISNUMBER(FIND(MID($L25,17,1),"ABCDEFGHIJKLMNOPQRSTUVWXYZ")),CODE(MID($L25,17,1))-55,"#")))</f>
        <v/>
      </c>
      <c r="AE25" s="18" t="str">
        <f aca="false">IF(LEN($L25)&lt;18,"",IF(ISNUMBER(FIND(MID($L25,18,1),"0123456789")),MID($L25,18,1),IF(ISNUMBER(FIND(MID($L25,18,1),"ABCDEFGHIJKLMNOPQRSTUVWXYZ")),CODE(MID($L25,18,1))-55,"#")))</f>
        <v/>
      </c>
      <c r="AF25" s="18" t="str">
        <f aca="false">IF(LEN($L25)&lt;19,"",IF(ISNUMBER(FIND(MID($L25,19,1),"0123456789")),MID($L25,19,1),IF(ISNUMBER(FIND(MID($L25,19,1),"ABCDEFGHIJKLMNOPQRSTUVWXYZ")),CODE(MID($L25,19,1))-55,"#")))</f>
        <v/>
      </c>
      <c r="AG25" s="18" t="str">
        <f aca="false">IF(LEN($L25)&lt;20,"",IF(ISNUMBER(FIND(MID($L25,20,1),"0123456789")),MID($L25,20,1),IF(ISNUMBER(FIND(MID($L25,20,1),"ABCDEFGHIJKLMNOPQRSTUVWXYZ")),CODE(MID($L25,20,1))-55,"#")))</f>
        <v/>
      </c>
      <c r="AH25" s="18" t="str">
        <f aca="false">IF(LEN($L25)&lt;21,"",IF(ISNUMBER(FIND(MID($L25,21,1),"0123456789")),MID($L25,21,1),IF(ISNUMBER(FIND(MID($L25,21,1),"ABCDEFGHIJKLMNOPQRSTUVWXYZ")),CODE(MID($L25,21,1))-55,"#")))</f>
        <v/>
      </c>
      <c r="AI25" s="18" t="str">
        <f aca="false">IF(LEN($L25)&lt;22,"",IF(ISNUMBER(FIND(MID($L25,22,1),"0123456789")),MID($L25,22,1),IF(ISNUMBER(FIND(MID($L25,22,1),"ABCDEFGHIJKLMNOPQRSTUVWXYZ")),CODE(MID($L25,22,1))-55,"#")))</f>
        <v/>
      </c>
      <c r="AJ25" s="18" t="str">
        <f aca="false">IF(LEN($L25)&lt;23,"",IF(ISNUMBER(FIND(MID($L25,23,1),"0123456789")),MID($L25,23,1),IF(ISNUMBER(FIND(MID($L25,23,1),"ABCDEFGHIJKLMNOPQRSTUVWXYZ")),CODE(MID($L25,23,1))-55,"#")))</f>
        <v/>
      </c>
      <c r="AK25" s="18" t="str">
        <f aca="false">IF(LEN($L25)&lt;24,"",IF(ISNUMBER(FIND(MID($L25,24,1),"0123456789")),MID($L25,24,1),IF(ISNUMBER(FIND(MID($L25,24,1),"ABCDEFGHIJKLMNOPQRSTUVWXYZ")),CODE(MID($L25,24,1))-55,"#")))</f>
        <v/>
      </c>
      <c r="AL25" s="18" t="str">
        <f aca="false">IF(LEN($L25)&lt;25,"",IF(ISNUMBER(FIND(MID($L25,25,1),"0123456789")),MID($L25,25,1),IF(ISNUMBER(FIND(MID($L25,25,1),"ABCDEFGHIJKLMNOPQRSTUVWXYZ")),CODE(MID($L25,25,1))-55,"#")))</f>
        <v/>
      </c>
      <c r="AM25" s="18" t="str">
        <f aca="false">IF(LEN($L25)&lt;26,"",IF(ISNUMBER(FIND(MID($L25,26,1),"0123456789")),MID($L25,26,1),IF(ISNUMBER(FIND(MID($L25,26,1),"ABCDEFGHIJKLMNOPQRSTUVWXYZ")),CODE(MID($L25,26,1))-55,"#")))</f>
        <v/>
      </c>
      <c r="AN25" s="18" t="str">
        <f aca="false">IF(LEN($L25)&lt;27,"",IF(ISNUMBER(FIND(MID($L25,27,1),"0123456789")),MID($L25,27,1),IF(ISNUMBER(FIND(MID($L25,27,1),"ABCDEFGHIJKLMNOPQRSTUVWXYZ")),CODE(MID($L25,27,1))-55,"#")))</f>
        <v/>
      </c>
      <c r="AO25" s="18" t="str">
        <f aca="false">IF(LEN($L25)&lt;28,"",IF(ISNUMBER(FIND(MID($L25,28,1),"0123456789")),MID($L25,28,1),IF(ISNUMBER(FIND(MID($L25,28,1),"ABCDEFGHIJKLMNOPQRSTUVWXYZ")),CODE(MID($L25,28,1))-55,"#")))</f>
        <v/>
      </c>
      <c r="AP25" s="18" t="str">
        <f aca="false">IF(LEN($L25)&lt;29,"",IF(ISNUMBER(FIND(MID($L25,29,1),"0123456789")),MID($L25,29,1),IF(ISNUMBER(FIND(MID($L25,29,1),"ABCDEFGHIJKLMNOPQRSTUVWXYZ")),CODE(MID($L25,29,1))-55,"#")))</f>
        <v/>
      </c>
      <c r="AQ25" s="18" t="str">
        <f aca="false">IF(LEN($L25)&lt;30,"",IF(ISNUMBER(FIND(MID($L25,30,1),"0123456789")),MID($L25,30,1),IF(ISNUMBER(FIND(MID($L25,30,1),"ABCDEFGHIJKLMNOPQRSTUVWXYZ")),CODE(MID($L25,30,1))-55,"#")))</f>
        <v/>
      </c>
      <c r="AR25" s="18" t="str">
        <f aca="false">IF(LEN($L25)&lt;31,"",IF(ISNUMBER(FIND(MID($L25,31,1),"0123456789")),MID($L25,31,1),IF(ISNUMBER(FIND(MID($L25,31,1),"ABCDEFGHIJKLMNOPQRSTUVWXYZ")),CODE(MID($L25,31,1))-55,"#")))</f>
        <v/>
      </c>
      <c r="AS25" s="18" t="str">
        <f aca="false">IF(LEN($L25)&lt;32,"",IF(ISNUMBER(FIND(MID($L25,32,1),"0123456789")),MID($L25,32,1),IF(ISNUMBER(FIND(MID($L25,32,1),"ABCDEFGHIJKLMNOPQRSTUVWXYZ")),CODE(MID($L25,32,1))-55,"#")))</f>
        <v/>
      </c>
      <c r="AT25" s="18" t="str">
        <f aca="false">IF(LEN($L25)&lt;33,"",IF(ISNUMBER(FIND(MID($L25,33,1),"0123456789")),MID($L25,33,1),IF(ISNUMBER(FIND(MID($L25,33,1),"ABCDEFGHIJKLMNOPQRSTUVWXYZ")),CODE(MID($L25,33,1))-55,"#")))</f>
        <v/>
      </c>
      <c r="AU25" s="18" t="str">
        <f aca="false">IF(LEN($L25)&lt;34,"",IF(ISNUMBER(FIND(MID($L25,34,1),"0123456789")),MID($L25,34,1),IF(ISNUMBER(FIND(MID($L25,34,1),"ABCDEFGHIJKLMNOPQRSTUVWXYZ")),CODE(MID($L25,34,1))-55,"#")))</f>
        <v/>
      </c>
      <c r="AV25" s="18" t="str">
        <f aca="false">_xlfn.CONCAT(N25:AU25)</f>
        <v/>
      </c>
      <c r="AW25" s="18" t="str">
        <f aca="false">IF(OR(AV25="",M25=FALSE()),"",MOD(VALUE(MID(AV25,1,9)),97))</f>
        <v/>
      </c>
      <c r="AX25" s="18" t="str">
        <f aca="false">IF(AW25="","",MOD(VALUE(AW25&amp;MID(AV25,10,7)),97))</f>
        <v/>
      </c>
      <c r="AY25" s="18" t="str">
        <f aca="false">IF(AX25="","",MOD(VALUE(AX25&amp;MID(AV25,17,7)),97))</f>
        <v/>
      </c>
      <c r="AZ25" s="18" t="str">
        <f aca="false">IF(AY25="","",MOD(VALUE(AY25&amp;MID(AV25,24,7)),97))</f>
        <v/>
      </c>
      <c r="BA25" s="18" t="str">
        <f aca="false">IF(AZ25="","",MOD(VALUE(AZ25&amp;MID(AV25,31,7)),97))</f>
        <v/>
      </c>
      <c r="BB25" s="18" t="str">
        <f aca="false">IF(BA25="","",MOD(VALUE(BA25&amp;MID(AV25,38,7)),97))</f>
        <v/>
      </c>
      <c r="BC25" s="18" t="str">
        <f aca="false">IF(BB25="","",MOD(VALUE(BB25&amp;MID(AV25,45,7)),97))</f>
        <v/>
      </c>
      <c r="BD25" s="18" t="str">
        <f aca="false">IF(BC25="","",MOD(VALUE(BC25&amp;MID(AV25,52,7)),97))</f>
        <v/>
      </c>
      <c r="BE25" s="18" t="str">
        <f aca="false">IF(BD25="","",MOD(VALUE(BD25&amp;MID(AV25,59,7)),97))</f>
        <v/>
      </c>
      <c r="BF25" s="18" t="str">
        <f aca="false">IF(BE25="","",MOD(VALUE(BE25&amp;MID(AV25,66,7)),97))</f>
        <v/>
      </c>
    </row>
    <row r="26" customFormat="false" ht="15" hidden="false" customHeight="false" outlineLevel="0" collapsed="false">
      <c r="A26" s="11"/>
      <c r="B26" s="5" t="str">
        <f aca="false">UPPER(SUBSTITUTE(SUBSTITUTE(SUBSTITUTE(TRIM(A26)," ",""),"-",""),CHAR(160),""))</f>
        <v/>
      </c>
      <c r="C26" s="5" t="str">
        <f aca="false">IF(B26="","",LEN(B26))</f>
        <v/>
      </c>
      <c r="D26" s="5" t="str">
        <f aca="false">IF(B26="","",LEFT(B26,2))</f>
        <v/>
      </c>
      <c r="E26" s="5" t="str">
        <f aca="false">IF(B26="","",MID(B26,3,2))</f>
        <v/>
      </c>
      <c r="F26" s="5" t="str">
        <f aca="false">IF(B26="","",MID(B26,5,2))</f>
        <v/>
      </c>
      <c r="G26" s="5" t="str">
        <f aca="false">IF(B26="","",IFERROR(INDEX('رموز البنوك'!$C$5:$C$30,MATCH(F26,'رموز البنوك'!$B$5:$B$30,0)),"رمز غير معروف"))</f>
        <v/>
      </c>
      <c r="H26" s="5" t="str">
        <f aca="false">BF26</f>
        <v/>
      </c>
      <c r="I26" s="5" t="str">
        <f aca="false">IF(OR(H26="",NOT(AND(ISNUMBER(FIND(MID(B26,3,1),"0123456789")),ISNUMBER(FIND(MID(B26,4,1),"0123456789"))))),"",TEXT(98-MOD(H26-VALUE(E26),97),"00"))</f>
        <v/>
      </c>
      <c r="J26" s="4" t="str">
        <f aca="false">IF(B26="","",IF(LEFT(K26,10)="آيبان صحيح","صحيح ✓","غير صحيح ✗"))</f>
        <v/>
      </c>
      <c r="K26" s="10" t="str">
        <f aca="false">IF(B26="","",IF(M26=FALSE(),"يحتوي رموزاً غير مسموحة (المسموح A–Z و 0–9 فقط)",IF(D26&lt;&gt;"SA","رمز الدولة "&amp;D26&amp;" — هذا المدقق للآيبان السعودي SA",IF(C26&lt;&gt;24,"الطول "&amp;C26&amp;" خانة والمطلوب 24",IF(NOT(AND(ISNUMBER(FIND(MID(B26,3,1),"0123456789")),ISNUMBER(FIND(MID(B26,4,1),"0123456789")))),"خانتا التدقيق يجب أن تكونا رقمين",IF(ISERROR(VALUE(MID(B26,5,20))),"رمز البنك ورقم الحساب يجب أن يكونا أرقاماً",IF(H26&lt;&gt;1,"فشل اختبار MOD-97 (الباقي "&amp;H26&amp;" وليس 1) — خطأ في كتابة الرقم؛ خانتا التدقيق الصحيحتان لهذا الحساب "&amp;I26,IF(G26="رمز غير معروف","اجتاز MOD-97 لكن رمز البنك "&amp;F26&amp;" غير مسجل في جدول البنوك","آيبان صحيح — "&amp;G26))))))))</f>
        <v/>
      </c>
      <c r="L26" s="18" t="str">
        <f aca="false">IF(B26="","",MID(B26,5,40)&amp;LEFT(B26,4))</f>
        <v/>
      </c>
      <c r="M26" s="18" t="str">
        <f aca="false">IF(L26="","",NOT(ISNUMBER(FIND("#",AV26))))</f>
        <v/>
      </c>
      <c r="N26" s="18" t="str">
        <f aca="false">IF(LEN($L26)&lt;1,"",IF(ISNUMBER(FIND(MID($L26,1,1),"0123456789")),MID($L26,1,1),IF(ISNUMBER(FIND(MID($L26,1,1),"ABCDEFGHIJKLMNOPQRSTUVWXYZ")),CODE(MID($L26,1,1))-55,"#")))</f>
        <v/>
      </c>
      <c r="O26" s="18" t="str">
        <f aca="false">IF(LEN($L26)&lt;2,"",IF(ISNUMBER(FIND(MID($L26,2,1),"0123456789")),MID($L26,2,1),IF(ISNUMBER(FIND(MID($L26,2,1),"ABCDEFGHIJKLMNOPQRSTUVWXYZ")),CODE(MID($L26,2,1))-55,"#")))</f>
        <v/>
      </c>
      <c r="P26" s="18" t="str">
        <f aca="false">IF(LEN($L26)&lt;3,"",IF(ISNUMBER(FIND(MID($L26,3,1),"0123456789")),MID($L26,3,1),IF(ISNUMBER(FIND(MID($L26,3,1),"ABCDEFGHIJKLMNOPQRSTUVWXYZ")),CODE(MID($L26,3,1))-55,"#")))</f>
        <v/>
      </c>
      <c r="Q26" s="18" t="str">
        <f aca="false">IF(LEN($L26)&lt;4,"",IF(ISNUMBER(FIND(MID($L26,4,1),"0123456789")),MID($L26,4,1),IF(ISNUMBER(FIND(MID($L26,4,1),"ABCDEFGHIJKLMNOPQRSTUVWXYZ")),CODE(MID($L26,4,1))-55,"#")))</f>
        <v/>
      </c>
      <c r="R26" s="18" t="str">
        <f aca="false">IF(LEN($L26)&lt;5,"",IF(ISNUMBER(FIND(MID($L26,5,1),"0123456789")),MID($L26,5,1),IF(ISNUMBER(FIND(MID($L26,5,1),"ABCDEFGHIJKLMNOPQRSTUVWXYZ")),CODE(MID($L26,5,1))-55,"#")))</f>
        <v/>
      </c>
      <c r="S26" s="18" t="str">
        <f aca="false">IF(LEN($L26)&lt;6,"",IF(ISNUMBER(FIND(MID($L26,6,1),"0123456789")),MID($L26,6,1),IF(ISNUMBER(FIND(MID($L26,6,1),"ABCDEFGHIJKLMNOPQRSTUVWXYZ")),CODE(MID($L26,6,1))-55,"#")))</f>
        <v/>
      </c>
      <c r="T26" s="18" t="str">
        <f aca="false">IF(LEN($L26)&lt;7,"",IF(ISNUMBER(FIND(MID($L26,7,1),"0123456789")),MID($L26,7,1),IF(ISNUMBER(FIND(MID($L26,7,1),"ABCDEFGHIJKLMNOPQRSTUVWXYZ")),CODE(MID($L26,7,1))-55,"#")))</f>
        <v/>
      </c>
      <c r="U26" s="18" t="str">
        <f aca="false">IF(LEN($L26)&lt;8,"",IF(ISNUMBER(FIND(MID($L26,8,1),"0123456789")),MID($L26,8,1),IF(ISNUMBER(FIND(MID($L26,8,1),"ABCDEFGHIJKLMNOPQRSTUVWXYZ")),CODE(MID($L26,8,1))-55,"#")))</f>
        <v/>
      </c>
      <c r="V26" s="18" t="str">
        <f aca="false">IF(LEN($L26)&lt;9,"",IF(ISNUMBER(FIND(MID($L26,9,1),"0123456789")),MID($L26,9,1),IF(ISNUMBER(FIND(MID($L26,9,1),"ABCDEFGHIJKLMNOPQRSTUVWXYZ")),CODE(MID($L26,9,1))-55,"#")))</f>
        <v/>
      </c>
      <c r="W26" s="18" t="str">
        <f aca="false">IF(LEN($L26)&lt;10,"",IF(ISNUMBER(FIND(MID($L26,10,1),"0123456789")),MID($L26,10,1),IF(ISNUMBER(FIND(MID($L26,10,1),"ABCDEFGHIJKLMNOPQRSTUVWXYZ")),CODE(MID($L26,10,1))-55,"#")))</f>
        <v/>
      </c>
      <c r="X26" s="18" t="str">
        <f aca="false">IF(LEN($L26)&lt;11,"",IF(ISNUMBER(FIND(MID($L26,11,1),"0123456789")),MID($L26,11,1),IF(ISNUMBER(FIND(MID($L26,11,1),"ABCDEFGHIJKLMNOPQRSTUVWXYZ")),CODE(MID($L26,11,1))-55,"#")))</f>
        <v/>
      </c>
      <c r="Y26" s="18" t="str">
        <f aca="false">IF(LEN($L26)&lt;12,"",IF(ISNUMBER(FIND(MID($L26,12,1),"0123456789")),MID($L26,12,1),IF(ISNUMBER(FIND(MID($L26,12,1),"ABCDEFGHIJKLMNOPQRSTUVWXYZ")),CODE(MID($L26,12,1))-55,"#")))</f>
        <v/>
      </c>
      <c r="Z26" s="18" t="str">
        <f aca="false">IF(LEN($L26)&lt;13,"",IF(ISNUMBER(FIND(MID($L26,13,1),"0123456789")),MID($L26,13,1),IF(ISNUMBER(FIND(MID($L26,13,1),"ABCDEFGHIJKLMNOPQRSTUVWXYZ")),CODE(MID($L26,13,1))-55,"#")))</f>
        <v/>
      </c>
      <c r="AA26" s="18" t="str">
        <f aca="false">IF(LEN($L26)&lt;14,"",IF(ISNUMBER(FIND(MID($L26,14,1),"0123456789")),MID($L26,14,1),IF(ISNUMBER(FIND(MID($L26,14,1),"ABCDEFGHIJKLMNOPQRSTUVWXYZ")),CODE(MID($L26,14,1))-55,"#")))</f>
        <v/>
      </c>
      <c r="AB26" s="18" t="str">
        <f aca="false">IF(LEN($L26)&lt;15,"",IF(ISNUMBER(FIND(MID($L26,15,1),"0123456789")),MID($L26,15,1),IF(ISNUMBER(FIND(MID($L26,15,1),"ABCDEFGHIJKLMNOPQRSTUVWXYZ")),CODE(MID($L26,15,1))-55,"#")))</f>
        <v/>
      </c>
      <c r="AC26" s="18" t="str">
        <f aca="false">IF(LEN($L26)&lt;16,"",IF(ISNUMBER(FIND(MID($L26,16,1),"0123456789")),MID($L26,16,1),IF(ISNUMBER(FIND(MID($L26,16,1),"ABCDEFGHIJKLMNOPQRSTUVWXYZ")),CODE(MID($L26,16,1))-55,"#")))</f>
        <v/>
      </c>
      <c r="AD26" s="18" t="str">
        <f aca="false">IF(LEN($L26)&lt;17,"",IF(ISNUMBER(FIND(MID($L26,17,1),"0123456789")),MID($L26,17,1),IF(ISNUMBER(FIND(MID($L26,17,1),"ABCDEFGHIJKLMNOPQRSTUVWXYZ")),CODE(MID($L26,17,1))-55,"#")))</f>
        <v/>
      </c>
      <c r="AE26" s="18" t="str">
        <f aca="false">IF(LEN($L26)&lt;18,"",IF(ISNUMBER(FIND(MID($L26,18,1),"0123456789")),MID($L26,18,1),IF(ISNUMBER(FIND(MID($L26,18,1),"ABCDEFGHIJKLMNOPQRSTUVWXYZ")),CODE(MID($L26,18,1))-55,"#")))</f>
        <v/>
      </c>
      <c r="AF26" s="18" t="str">
        <f aca="false">IF(LEN($L26)&lt;19,"",IF(ISNUMBER(FIND(MID($L26,19,1),"0123456789")),MID($L26,19,1),IF(ISNUMBER(FIND(MID($L26,19,1),"ABCDEFGHIJKLMNOPQRSTUVWXYZ")),CODE(MID($L26,19,1))-55,"#")))</f>
        <v/>
      </c>
      <c r="AG26" s="18" t="str">
        <f aca="false">IF(LEN($L26)&lt;20,"",IF(ISNUMBER(FIND(MID($L26,20,1),"0123456789")),MID($L26,20,1),IF(ISNUMBER(FIND(MID($L26,20,1),"ABCDEFGHIJKLMNOPQRSTUVWXYZ")),CODE(MID($L26,20,1))-55,"#")))</f>
        <v/>
      </c>
      <c r="AH26" s="18" t="str">
        <f aca="false">IF(LEN($L26)&lt;21,"",IF(ISNUMBER(FIND(MID($L26,21,1),"0123456789")),MID($L26,21,1),IF(ISNUMBER(FIND(MID($L26,21,1),"ABCDEFGHIJKLMNOPQRSTUVWXYZ")),CODE(MID($L26,21,1))-55,"#")))</f>
        <v/>
      </c>
      <c r="AI26" s="18" t="str">
        <f aca="false">IF(LEN($L26)&lt;22,"",IF(ISNUMBER(FIND(MID($L26,22,1),"0123456789")),MID($L26,22,1),IF(ISNUMBER(FIND(MID($L26,22,1),"ABCDEFGHIJKLMNOPQRSTUVWXYZ")),CODE(MID($L26,22,1))-55,"#")))</f>
        <v/>
      </c>
      <c r="AJ26" s="18" t="str">
        <f aca="false">IF(LEN($L26)&lt;23,"",IF(ISNUMBER(FIND(MID($L26,23,1),"0123456789")),MID($L26,23,1),IF(ISNUMBER(FIND(MID($L26,23,1),"ABCDEFGHIJKLMNOPQRSTUVWXYZ")),CODE(MID($L26,23,1))-55,"#")))</f>
        <v/>
      </c>
      <c r="AK26" s="18" t="str">
        <f aca="false">IF(LEN($L26)&lt;24,"",IF(ISNUMBER(FIND(MID($L26,24,1),"0123456789")),MID($L26,24,1),IF(ISNUMBER(FIND(MID($L26,24,1),"ABCDEFGHIJKLMNOPQRSTUVWXYZ")),CODE(MID($L26,24,1))-55,"#")))</f>
        <v/>
      </c>
      <c r="AL26" s="18" t="str">
        <f aca="false">IF(LEN($L26)&lt;25,"",IF(ISNUMBER(FIND(MID($L26,25,1),"0123456789")),MID($L26,25,1),IF(ISNUMBER(FIND(MID($L26,25,1),"ABCDEFGHIJKLMNOPQRSTUVWXYZ")),CODE(MID($L26,25,1))-55,"#")))</f>
        <v/>
      </c>
      <c r="AM26" s="18" t="str">
        <f aca="false">IF(LEN($L26)&lt;26,"",IF(ISNUMBER(FIND(MID($L26,26,1),"0123456789")),MID($L26,26,1),IF(ISNUMBER(FIND(MID($L26,26,1),"ABCDEFGHIJKLMNOPQRSTUVWXYZ")),CODE(MID($L26,26,1))-55,"#")))</f>
        <v/>
      </c>
      <c r="AN26" s="18" t="str">
        <f aca="false">IF(LEN($L26)&lt;27,"",IF(ISNUMBER(FIND(MID($L26,27,1),"0123456789")),MID($L26,27,1),IF(ISNUMBER(FIND(MID($L26,27,1),"ABCDEFGHIJKLMNOPQRSTUVWXYZ")),CODE(MID($L26,27,1))-55,"#")))</f>
        <v/>
      </c>
      <c r="AO26" s="18" t="str">
        <f aca="false">IF(LEN($L26)&lt;28,"",IF(ISNUMBER(FIND(MID($L26,28,1),"0123456789")),MID($L26,28,1),IF(ISNUMBER(FIND(MID($L26,28,1),"ABCDEFGHIJKLMNOPQRSTUVWXYZ")),CODE(MID($L26,28,1))-55,"#")))</f>
        <v/>
      </c>
      <c r="AP26" s="18" t="str">
        <f aca="false">IF(LEN($L26)&lt;29,"",IF(ISNUMBER(FIND(MID($L26,29,1),"0123456789")),MID($L26,29,1),IF(ISNUMBER(FIND(MID($L26,29,1),"ABCDEFGHIJKLMNOPQRSTUVWXYZ")),CODE(MID($L26,29,1))-55,"#")))</f>
        <v/>
      </c>
      <c r="AQ26" s="18" t="str">
        <f aca="false">IF(LEN($L26)&lt;30,"",IF(ISNUMBER(FIND(MID($L26,30,1),"0123456789")),MID($L26,30,1),IF(ISNUMBER(FIND(MID($L26,30,1),"ABCDEFGHIJKLMNOPQRSTUVWXYZ")),CODE(MID($L26,30,1))-55,"#")))</f>
        <v/>
      </c>
      <c r="AR26" s="18" t="str">
        <f aca="false">IF(LEN($L26)&lt;31,"",IF(ISNUMBER(FIND(MID($L26,31,1),"0123456789")),MID($L26,31,1),IF(ISNUMBER(FIND(MID($L26,31,1),"ABCDEFGHIJKLMNOPQRSTUVWXYZ")),CODE(MID($L26,31,1))-55,"#")))</f>
        <v/>
      </c>
      <c r="AS26" s="18" t="str">
        <f aca="false">IF(LEN($L26)&lt;32,"",IF(ISNUMBER(FIND(MID($L26,32,1),"0123456789")),MID($L26,32,1),IF(ISNUMBER(FIND(MID($L26,32,1),"ABCDEFGHIJKLMNOPQRSTUVWXYZ")),CODE(MID($L26,32,1))-55,"#")))</f>
        <v/>
      </c>
      <c r="AT26" s="18" t="str">
        <f aca="false">IF(LEN($L26)&lt;33,"",IF(ISNUMBER(FIND(MID($L26,33,1),"0123456789")),MID($L26,33,1),IF(ISNUMBER(FIND(MID($L26,33,1),"ABCDEFGHIJKLMNOPQRSTUVWXYZ")),CODE(MID($L26,33,1))-55,"#")))</f>
        <v/>
      </c>
      <c r="AU26" s="18" t="str">
        <f aca="false">IF(LEN($L26)&lt;34,"",IF(ISNUMBER(FIND(MID($L26,34,1),"0123456789")),MID($L26,34,1),IF(ISNUMBER(FIND(MID($L26,34,1),"ABCDEFGHIJKLMNOPQRSTUVWXYZ")),CODE(MID($L26,34,1))-55,"#")))</f>
        <v/>
      </c>
      <c r="AV26" s="18" t="str">
        <f aca="false">_xlfn.CONCAT(N26:AU26)</f>
        <v/>
      </c>
      <c r="AW26" s="18" t="str">
        <f aca="false">IF(OR(AV26="",M26=FALSE()),"",MOD(VALUE(MID(AV26,1,9)),97))</f>
        <v/>
      </c>
      <c r="AX26" s="18" t="str">
        <f aca="false">IF(AW26="","",MOD(VALUE(AW26&amp;MID(AV26,10,7)),97))</f>
        <v/>
      </c>
      <c r="AY26" s="18" t="str">
        <f aca="false">IF(AX26="","",MOD(VALUE(AX26&amp;MID(AV26,17,7)),97))</f>
        <v/>
      </c>
      <c r="AZ26" s="18" t="str">
        <f aca="false">IF(AY26="","",MOD(VALUE(AY26&amp;MID(AV26,24,7)),97))</f>
        <v/>
      </c>
      <c r="BA26" s="18" t="str">
        <f aca="false">IF(AZ26="","",MOD(VALUE(AZ26&amp;MID(AV26,31,7)),97))</f>
        <v/>
      </c>
      <c r="BB26" s="18" t="str">
        <f aca="false">IF(BA26="","",MOD(VALUE(BA26&amp;MID(AV26,38,7)),97))</f>
        <v/>
      </c>
      <c r="BC26" s="18" t="str">
        <f aca="false">IF(BB26="","",MOD(VALUE(BB26&amp;MID(AV26,45,7)),97))</f>
        <v/>
      </c>
      <c r="BD26" s="18" t="str">
        <f aca="false">IF(BC26="","",MOD(VALUE(BC26&amp;MID(AV26,52,7)),97))</f>
        <v/>
      </c>
      <c r="BE26" s="18" t="str">
        <f aca="false">IF(BD26="","",MOD(VALUE(BD26&amp;MID(AV26,59,7)),97))</f>
        <v/>
      </c>
      <c r="BF26" s="18" t="str">
        <f aca="false">IF(BE26="","",MOD(VALUE(BE26&amp;MID(AV26,66,7)),97))</f>
        <v/>
      </c>
    </row>
    <row r="27" customFormat="false" ht="15" hidden="false" customHeight="false" outlineLevel="0" collapsed="false">
      <c r="A27" s="11"/>
      <c r="B27" s="5" t="str">
        <f aca="false">UPPER(SUBSTITUTE(SUBSTITUTE(SUBSTITUTE(TRIM(A27)," ",""),"-",""),CHAR(160),""))</f>
        <v/>
      </c>
      <c r="C27" s="5" t="str">
        <f aca="false">IF(B27="","",LEN(B27))</f>
        <v/>
      </c>
      <c r="D27" s="5" t="str">
        <f aca="false">IF(B27="","",LEFT(B27,2))</f>
        <v/>
      </c>
      <c r="E27" s="5" t="str">
        <f aca="false">IF(B27="","",MID(B27,3,2))</f>
        <v/>
      </c>
      <c r="F27" s="5" t="str">
        <f aca="false">IF(B27="","",MID(B27,5,2))</f>
        <v/>
      </c>
      <c r="G27" s="5" t="str">
        <f aca="false">IF(B27="","",IFERROR(INDEX('رموز البنوك'!$C$5:$C$30,MATCH(F27,'رموز البنوك'!$B$5:$B$30,0)),"رمز غير معروف"))</f>
        <v/>
      </c>
      <c r="H27" s="5" t="str">
        <f aca="false">BF27</f>
        <v/>
      </c>
      <c r="I27" s="5" t="str">
        <f aca="false">IF(OR(H27="",NOT(AND(ISNUMBER(FIND(MID(B27,3,1),"0123456789")),ISNUMBER(FIND(MID(B27,4,1),"0123456789"))))),"",TEXT(98-MOD(H27-VALUE(E27),97),"00"))</f>
        <v/>
      </c>
      <c r="J27" s="4" t="str">
        <f aca="false">IF(B27="","",IF(LEFT(K27,10)="آيبان صحيح","صحيح ✓","غير صحيح ✗"))</f>
        <v/>
      </c>
      <c r="K27" s="10" t="str">
        <f aca="false">IF(B27="","",IF(M27=FALSE(),"يحتوي رموزاً غير مسموحة (المسموح A–Z و 0–9 فقط)",IF(D27&lt;&gt;"SA","رمز الدولة "&amp;D27&amp;" — هذا المدقق للآيبان السعودي SA",IF(C27&lt;&gt;24,"الطول "&amp;C27&amp;" خانة والمطلوب 24",IF(NOT(AND(ISNUMBER(FIND(MID(B27,3,1),"0123456789")),ISNUMBER(FIND(MID(B27,4,1),"0123456789")))),"خانتا التدقيق يجب أن تكونا رقمين",IF(ISERROR(VALUE(MID(B27,5,20))),"رمز البنك ورقم الحساب يجب أن يكونا أرقاماً",IF(H27&lt;&gt;1,"فشل اختبار MOD-97 (الباقي "&amp;H27&amp;" وليس 1) — خطأ في كتابة الرقم؛ خانتا التدقيق الصحيحتان لهذا الحساب "&amp;I27,IF(G27="رمز غير معروف","اجتاز MOD-97 لكن رمز البنك "&amp;F27&amp;" غير مسجل في جدول البنوك","آيبان صحيح — "&amp;G27))))))))</f>
        <v/>
      </c>
      <c r="L27" s="18" t="str">
        <f aca="false">IF(B27="","",MID(B27,5,40)&amp;LEFT(B27,4))</f>
        <v/>
      </c>
      <c r="M27" s="18" t="str">
        <f aca="false">IF(L27="","",NOT(ISNUMBER(FIND("#",AV27))))</f>
        <v/>
      </c>
      <c r="N27" s="18" t="str">
        <f aca="false">IF(LEN($L27)&lt;1,"",IF(ISNUMBER(FIND(MID($L27,1,1),"0123456789")),MID($L27,1,1),IF(ISNUMBER(FIND(MID($L27,1,1),"ABCDEFGHIJKLMNOPQRSTUVWXYZ")),CODE(MID($L27,1,1))-55,"#")))</f>
        <v/>
      </c>
      <c r="O27" s="18" t="str">
        <f aca="false">IF(LEN($L27)&lt;2,"",IF(ISNUMBER(FIND(MID($L27,2,1),"0123456789")),MID($L27,2,1),IF(ISNUMBER(FIND(MID($L27,2,1),"ABCDEFGHIJKLMNOPQRSTUVWXYZ")),CODE(MID($L27,2,1))-55,"#")))</f>
        <v/>
      </c>
      <c r="P27" s="18" t="str">
        <f aca="false">IF(LEN($L27)&lt;3,"",IF(ISNUMBER(FIND(MID($L27,3,1),"0123456789")),MID($L27,3,1),IF(ISNUMBER(FIND(MID($L27,3,1),"ABCDEFGHIJKLMNOPQRSTUVWXYZ")),CODE(MID($L27,3,1))-55,"#")))</f>
        <v/>
      </c>
      <c r="Q27" s="18" t="str">
        <f aca="false">IF(LEN($L27)&lt;4,"",IF(ISNUMBER(FIND(MID($L27,4,1),"0123456789")),MID($L27,4,1),IF(ISNUMBER(FIND(MID($L27,4,1),"ABCDEFGHIJKLMNOPQRSTUVWXYZ")),CODE(MID($L27,4,1))-55,"#")))</f>
        <v/>
      </c>
      <c r="R27" s="18" t="str">
        <f aca="false">IF(LEN($L27)&lt;5,"",IF(ISNUMBER(FIND(MID($L27,5,1),"0123456789")),MID($L27,5,1),IF(ISNUMBER(FIND(MID($L27,5,1),"ABCDEFGHIJKLMNOPQRSTUVWXYZ")),CODE(MID($L27,5,1))-55,"#")))</f>
        <v/>
      </c>
      <c r="S27" s="18" t="str">
        <f aca="false">IF(LEN($L27)&lt;6,"",IF(ISNUMBER(FIND(MID($L27,6,1),"0123456789")),MID($L27,6,1),IF(ISNUMBER(FIND(MID($L27,6,1),"ABCDEFGHIJKLMNOPQRSTUVWXYZ")),CODE(MID($L27,6,1))-55,"#")))</f>
        <v/>
      </c>
      <c r="T27" s="18" t="str">
        <f aca="false">IF(LEN($L27)&lt;7,"",IF(ISNUMBER(FIND(MID($L27,7,1),"0123456789")),MID($L27,7,1),IF(ISNUMBER(FIND(MID($L27,7,1),"ABCDEFGHIJKLMNOPQRSTUVWXYZ")),CODE(MID($L27,7,1))-55,"#")))</f>
        <v/>
      </c>
      <c r="U27" s="18" t="str">
        <f aca="false">IF(LEN($L27)&lt;8,"",IF(ISNUMBER(FIND(MID($L27,8,1),"0123456789")),MID($L27,8,1),IF(ISNUMBER(FIND(MID($L27,8,1),"ABCDEFGHIJKLMNOPQRSTUVWXYZ")),CODE(MID($L27,8,1))-55,"#")))</f>
        <v/>
      </c>
      <c r="V27" s="18" t="str">
        <f aca="false">IF(LEN($L27)&lt;9,"",IF(ISNUMBER(FIND(MID($L27,9,1),"0123456789")),MID($L27,9,1),IF(ISNUMBER(FIND(MID($L27,9,1),"ABCDEFGHIJKLMNOPQRSTUVWXYZ")),CODE(MID($L27,9,1))-55,"#")))</f>
        <v/>
      </c>
      <c r="W27" s="18" t="str">
        <f aca="false">IF(LEN($L27)&lt;10,"",IF(ISNUMBER(FIND(MID($L27,10,1),"0123456789")),MID($L27,10,1),IF(ISNUMBER(FIND(MID($L27,10,1),"ABCDEFGHIJKLMNOPQRSTUVWXYZ")),CODE(MID($L27,10,1))-55,"#")))</f>
        <v/>
      </c>
      <c r="X27" s="18" t="str">
        <f aca="false">IF(LEN($L27)&lt;11,"",IF(ISNUMBER(FIND(MID($L27,11,1),"0123456789")),MID($L27,11,1),IF(ISNUMBER(FIND(MID($L27,11,1),"ABCDEFGHIJKLMNOPQRSTUVWXYZ")),CODE(MID($L27,11,1))-55,"#")))</f>
        <v/>
      </c>
      <c r="Y27" s="18" t="str">
        <f aca="false">IF(LEN($L27)&lt;12,"",IF(ISNUMBER(FIND(MID($L27,12,1),"0123456789")),MID($L27,12,1),IF(ISNUMBER(FIND(MID($L27,12,1),"ABCDEFGHIJKLMNOPQRSTUVWXYZ")),CODE(MID($L27,12,1))-55,"#")))</f>
        <v/>
      </c>
      <c r="Z27" s="18" t="str">
        <f aca="false">IF(LEN($L27)&lt;13,"",IF(ISNUMBER(FIND(MID($L27,13,1),"0123456789")),MID($L27,13,1),IF(ISNUMBER(FIND(MID($L27,13,1),"ABCDEFGHIJKLMNOPQRSTUVWXYZ")),CODE(MID($L27,13,1))-55,"#")))</f>
        <v/>
      </c>
      <c r="AA27" s="18" t="str">
        <f aca="false">IF(LEN($L27)&lt;14,"",IF(ISNUMBER(FIND(MID($L27,14,1),"0123456789")),MID($L27,14,1),IF(ISNUMBER(FIND(MID($L27,14,1),"ABCDEFGHIJKLMNOPQRSTUVWXYZ")),CODE(MID($L27,14,1))-55,"#")))</f>
        <v/>
      </c>
      <c r="AB27" s="18" t="str">
        <f aca="false">IF(LEN($L27)&lt;15,"",IF(ISNUMBER(FIND(MID($L27,15,1),"0123456789")),MID($L27,15,1),IF(ISNUMBER(FIND(MID($L27,15,1),"ABCDEFGHIJKLMNOPQRSTUVWXYZ")),CODE(MID($L27,15,1))-55,"#")))</f>
        <v/>
      </c>
      <c r="AC27" s="18" t="str">
        <f aca="false">IF(LEN($L27)&lt;16,"",IF(ISNUMBER(FIND(MID($L27,16,1),"0123456789")),MID($L27,16,1),IF(ISNUMBER(FIND(MID($L27,16,1),"ABCDEFGHIJKLMNOPQRSTUVWXYZ")),CODE(MID($L27,16,1))-55,"#")))</f>
        <v/>
      </c>
      <c r="AD27" s="18" t="str">
        <f aca="false">IF(LEN($L27)&lt;17,"",IF(ISNUMBER(FIND(MID($L27,17,1),"0123456789")),MID($L27,17,1),IF(ISNUMBER(FIND(MID($L27,17,1),"ABCDEFGHIJKLMNOPQRSTUVWXYZ")),CODE(MID($L27,17,1))-55,"#")))</f>
        <v/>
      </c>
      <c r="AE27" s="18" t="str">
        <f aca="false">IF(LEN($L27)&lt;18,"",IF(ISNUMBER(FIND(MID($L27,18,1),"0123456789")),MID($L27,18,1),IF(ISNUMBER(FIND(MID($L27,18,1),"ABCDEFGHIJKLMNOPQRSTUVWXYZ")),CODE(MID($L27,18,1))-55,"#")))</f>
        <v/>
      </c>
      <c r="AF27" s="18" t="str">
        <f aca="false">IF(LEN($L27)&lt;19,"",IF(ISNUMBER(FIND(MID($L27,19,1),"0123456789")),MID($L27,19,1),IF(ISNUMBER(FIND(MID($L27,19,1),"ABCDEFGHIJKLMNOPQRSTUVWXYZ")),CODE(MID($L27,19,1))-55,"#")))</f>
        <v/>
      </c>
      <c r="AG27" s="18" t="str">
        <f aca="false">IF(LEN($L27)&lt;20,"",IF(ISNUMBER(FIND(MID($L27,20,1),"0123456789")),MID($L27,20,1),IF(ISNUMBER(FIND(MID($L27,20,1),"ABCDEFGHIJKLMNOPQRSTUVWXYZ")),CODE(MID($L27,20,1))-55,"#")))</f>
        <v/>
      </c>
      <c r="AH27" s="18" t="str">
        <f aca="false">IF(LEN($L27)&lt;21,"",IF(ISNUMBER(FIND(MID($L27,21,1),"0123456789")),MID($L27,21,1),IF(ISNUMBER(FIND(MID($L27,21,1),"ABCDEFGHIJKLMNOPQRSTUVWXYZ")),CODE(MID($L27,21,1))-55,"#")))</f>
        <v/>
      </c>
      <c r="AI27" s="18" t="str">
        <f aca="false">IF(LEN($L27)&lt;22,"",IF(ISNUMBER(FIND(MID($L27,22,1),"0123456789")),MID($L27,22,1),IF(ISNUMBER(FIND(MID($L27,22,1),"ABCDEFGHIJKLMNOPQRSTUVWXYZ")),CODE(MID($L27,22,1))-55,"#")))</f>
        <v/>
      </c>
      <c r="AJ27" s="18" t="str">
        <f aca="false">IF(LEN($L27)&lt;23,"",IF(ISNUMBER(FIND(MID($L27,23,1),"0123456789")),MID($L27,23,1),IF(ISNUMBER(FIND(MID($L27,23,1),"ABCDEFGHIJKLMNOPQRSTUVWXYZ")),CODE(MID($L27,23,1))-55,"#")))</f>
        <v/>
      </c>
      <c r="AK27" s="18" t="str">
        <f aca="false">IF(LEN($L27)&lt;24,"",IF(ISNUMBER(FIND(MID($L27,24,1),"0123456789")),MID($L27,24,1),IF(ISNUMBER(FIND(MID($L27,24,1),"ABCDEFGHIJKLMNOPQRSTUVWXYZ")),CODE(MID($L27,24,1))-55,"#")))</f>
        <v/>
      </c>
      <c r="AL27" s="18" t="str">
        <f aca="false">IF(LEN($L27)&lt;25,"",IF(ISNUMBER(FIND(MID($L27,25,1),"0123456789")),MID($L27,25,1),IF(ISNUMBER(FIND(MID($L27,25,1),"ABCDEFGHIJKLMNOPQRSTUVWXYZ")),CODE(MID($L27,25,1))-55,"#")))</f>
        <v/>
      </c>
      <c r="AM27" s="18" t="str">
        <f aca="false">IF(LEN($L27)&lt;26,"",IF(ISNUMBER(FIND(MID($L27,26,1),"0123456789")),MID($L27,26,1),IF(ISNUMBER(FIND(MID($L27,26,1),"ABCDEFGHIJKLMNOPQRSTUVWXYZ")),CODE(MID($L27,26,1))-55,"#")))</f>
        <v/>
      </c>
      <c r="AN27" s="18" t="str">
        <f aca="false">IF(LEN($L27)&lt;27,"",IF(ISNUMBER(FIND(MID($L27,27,1),"0123456789")),MID($L27,27,1),IF(ISNUMBER(FIND(MID($L27,27,1),"ABCDEFGHIJKLMNOPQRSTUVWXYZ")),CODE(MID($L27,27,1))-55,"#")))</f>
        <v/>
      </c>
      <c r="AO27" s="18" t="str">
        <f aca="false">IF(LEN($L27)&lt;28,"",IF(ISNUMBER(FIND(MID($L27,28,1),"0123456789")),MID($L27,28,1),IF(ISNUMBER(FIND(MID($L27,28,1),"ABCDEFGHIJKLMNOPQRSTUVWXYZ")),CODE(MID($L27,28,1))-55,"#")))</f>
        <v/>
      </c>
      <c r="AP27" s="18" t="str">
        <f aca="false">IF(LEN($L27)&lt;29,"",IF(ISNUMBER(FIND(MID($L27,29,1),"0123456789")),MID($L27,29,1),IF(ISNUMBER(FIND(MID($L27,29,1),"ABCDEFGHIJKLMNOPQRSTUVWXYZ")),CODE(MID($L27,29,1))-55,"#")))</f>
        <v/>
      </c>
      <c r="AQ27" s="18" t="str">
        <f aca="false">IF(LEN($L27)&lt;30,"",IF(ISNUMBER(FIND(MID($L27,30,1),"0123456789")),MID($L27,30,1),IF(ISNUMBER(FIND(MID($L27,30,1),"ABCDEFGHIJKLMNOPQRSTUVWXYZ")),CODE(MID($L27,30,1))-55,"#")))</f>
        <v/>
      </c>
      <c r="AR27" s="18" t="str">
        <f aca="false">IF(LEN($L27)&lt;31,"",IF(ISNUMBER(FIND(MID($L27,31,1),"0123456789")),MID($L27,31,1),IF(ISNUMBER(FIND(MID($L27,31,1),"ABCDEFGHIJKLMNOPQRSTUVWXYZ")),CODE(MID($L27,31,1))-55,"#")))</f>
        <v/>
      </c>
      <c r="AS27" s="18" t="str">
        <f aca="false">IF(LEN($L27)&lt;32,"",IF(ISNUMBER(FIND(MID($L27,32,1),"0123456789")),MID($L27,32,1),IF(ISNUMBER(FIND(MID($L27,32,1),"ABCDEFGHIJKLMNOPQRSTUVWXYZ")),CODE(MID($L27,32,1))-55,"#")))</f>
        <v/>
      </c>
      <c r="AT27" s="18" t="str">
        <f aca="false">IF(LEN($L27)&lt;33,"",IF(ISNUMBER(FIND(MID($L27,33,1),"0123456789")),MID($L27,33,1),IF(ISNUMBER(FIND(MID($L27,33,1),"ABCDEFGHIJKLMNOPQRSTUVWXYZ")),CODE(MID($L27,33,1))-55,"#")))</f>
        <v/>
      </c>
      <c r="AU27" s="18" t="str">
        <f aca="false">IF(LEN($L27)&lt;34,"",IF(ISNUMBER(FIND(MID($L27,34,1),"0123456789")),MID($L27,34,1),IF(ISNUMBER(FIND(MID($L27,34,1),"ABCDEFGHIJKLMNOPQRSTUVWXYZ")),CODE(MID($L27,34,1))-55,"#")))</f>
        <v/>
      </c>
      <c r="AV27" s="18" t="str">
        <f aca="false">_xlfn.CONCAT(N27:AU27)</f>
        <v/>
      </c>
      <c r="AW27" s="18" t="str">
        <f aca="false">IF(OR(AV27="",M27=FALSE()),"",MOD(VALUE(MID(AV27,1,9)),97))</f>
        <v/>
      </c>
      <c r="AX27" s="18" t="str">
        <f aca="false">IF(AW27="","",MOD(VALUE(AW27&amp;MID(AV27,10,7)),97))</f>
        <v/>
      </c>
      <c r="AY27" s="18" t="str">
        <f aca="false">IF(AX27="","",MOD(VALUE(AX27&amp;MID(AV27,17,7)),97))</f>
        <v/>
      </c>
      <c r="AZ27" s="18" t="str">
        <f aca="false">IF(AY27="","",MOD(VALUE(AY27&amp;MID(AV27,24,7)),97))</f>
        <v/>
      </c>
      <c r="BA27" s="18" t="str">
        <f aca="false">IF(AZ27="","",MOD(VALUE(AZ27&amp;MID(AV27,31,7)),97))</f>
        <v/>
      </c>
      <c r="BB27" s="18" t="str">
        <f aca="false">IF(BA27="","",MOD(VALUE(BA27&amp;MID(AV27,38,7)),97))</f>
        <v/>
      </c>
      <c r="BC27" s="18" t="str">
        <f aca="false">IF(BB27="","",MOD(VALUE(BB27&amp;MID(AV27,45,7)),97))</f>
        <v/>
      </c>
      <c r="BD27" s="18" t="str">
        <f aca="false">IF(BC27="","",MOD(VALUE(BC27&amp;MID(AV27,52,7)),97))</f>
        <v/>
      </c>
      <c r="BE27" s="18" t="str">
        <f aca="false">IF(BD27="","",MOD(VALUE(BD27&amp;MID(AV27,59,7)),97))</f>
        <v/>
      </c>
      <c r="BF27" s="18" t="str">
        <f aca="false">IF(BE27="","",MOD(VALUE(BE27&amp;MID(AV27,66,7)),97))</f>
        <v/>
      </c>
    </row>
    <row r="28" customFormat="false" ht="15" hidden="false" customHeight="false" outlineLevel="0" collapsed="false">
      <c r="A28" s="11"/>
      <c r="B28" s="5" t="str">
        <f aca="false">UPPER(SUBSTITUTE(SUBSTITUTE(SUBSTITUTE(TRIM(A28)," ",""),"-",""),CHAR(160),""))</f>
        <v/>
      </c>
      <c r="C28" s="5" t="str">
        <f aca="false">IF(B28="","",LEN(B28))</f>
        <v/>
      </c>
      <c r="D28" s="5" t="str">
        <f aca="false">IF(B28="","",LEFT(B28,2))</f>
        <v/>
      </c>
      <c r="E28" s="5" t="str">
        <f aca="false">IF(B28="","",MID(B28,3,2))</f>
        <v/>
      </c>
      <c r="F28" s="5" t="str">
        <f aca="false">IF(B28="","",MID(B28,5,2))</f>
        <v/>
      </c>
      <c r="G28" s="5" t="str">
        <f aca="false">IF(B28="","",IFERROR(INDEX('رموز البنوك'!$C$5:$C$30,MATCH(F28,'رموز البنوك'!$B$5:$B$30,0)),"رمز غير معروف"))</f>
        <v/>
      </c>
      <c r="H28" s="5" t="str">
        <f aca="false">BF28</f>
        <v/>
      </c>
      <c r="I28" s="5" t="str">
        <f aca="false">IF(OR(H28="",NOT(AND(ISNUMBER(FIND(MID(B28,3,1),"0123456789")),ISNUMBER(FIND(MID(B28,4,1),"0123456789"))))),"",TEXT(98-MOD(H28-VALUE(E28),97),"00"))</f>
        <v/>
      </c>
      <c r="J28" s="4" t="str">
        <f aca="false">IF(B28="","",IF(LEFT(K28,10)="آيبان صحيح","صحيح ✓","غير صحيح ✗"))</f>
        <v/>
      </c>
      <c r="K28" s="10" t="str">
        <f aca="false">IF(B28="","",IF(M28=FALSE(),"يحتوي رموزاً غير مسموحة (المسموح A–Z و 0–9 فقط)",IF(D28&lt;&gt;"SA","رمز الدولة "&amp;D28&amp;" — هذا المدقق للآيبان السعودي SA",IF(C28&lt;&gt;24,"الطول "&amp;C28&amp;" خانة والمطلوب 24",IF(NOT(AND(ISNUMBER(FIND(MID(B28,3,1),"0123456789")),ISNUMBER(FIND(MID(B28,4,1),"0123456789")))),"خانتا التدقيق يجب أن تكونا رقمين",IF(ISERROR(VALUE(MID(B28,5,20))),"رمز البنك ورقم الحساب يجب أن يكونا أرقاماً",IF(H28&lt;&gt;1,"فشل اختبار MOD-97 (الباقي "&amp;H28&amp;" وليس 1) — خطأ في كتابة الرقم؛ خانتا التدقيق الصحيحتان لهذا الحساب "&amp;I28,IF(G28="رمز غير معروف","اجتاز MOD-97 لكن رمز البنك "&amp;F28&amp;" غير مسجل في جدول البنوك","آيبان صحيح — "&amp;G28))))))))</f>
        <v/>
      </c>
      <c r="L28" s="18" t="str">
        <f aca="false">IF(B28="","",MID(B28,5,40)&amp;LEFT(B28,4))</f>
        <v/>
      </c>
      <c r="M28" s="18" t="str">
        <f aca="false">IF(L28="","",NOT(ISNUMBER(FIND("#",AV28))))</f>
        <v/>
      </c>
      <c r="N28" s="18" t="str">
        <f aca="false">IF(LEN($L28)&lt;1,"",IF(ISNUMBER(FIND(MID($L28,1,1),"0123456789")),MID($L28,1,1),IF(ISNUMBER(FIND(MID($L28,1,1),"ABCDEFGHIJKLMNOPQRSTUVWXYZ")),CODE(MID($L28,1,1))-55,"#")))</f>
        <v/>
      </c>
      <c r="O28" s="18" t="str">
        <f aca="false">IF(LEN($L28)&lt;2,"",IF(ISNUMBER(FIND(MID($L28,2,1),"0123456789")),MID($L28,2,1),IF(ISNUMBER(FIND(MID($L28,2,1),"ABCDEFGHIJKLMNOPQRSTUVWXYZ")),CODE(MID($L28,2,1))-55,"#")))</f>
        <v/>
      </c>
      <c r="P28" s="18" t="str">
        <f aca="false">IF(LEN($L28)&lt;3,"",IF(ISNUMBER(FIND(MID($L28,3,1),"0123456789")),MID($L28,3,1),IF(ISNUMBER(FIND(MID($L28,3,1),"ABCDEFGHIJKLMNOPQRSTUVWXYZ")),CODE(MID($L28,3,1))-55,"#")))</f>
        <v/>
      </c>
      <c r="Q28" s="18" t="str">
        <f aca="false">IF(LEN($L28)&lt;4,"",IF(ISNUMBER(FIND(MID($L28,4,1),"0123456789")),MID($L28,4,1),IF(ISNUMBER(FIND(MID($L28,4,1),"ABCDEFGHIJKLMNOPQRSTUVWXYZ")),CODE(MID($L28,4,1))-55,"#")))</f>
        <v/>
      </c>
      <c r="R28" s="18" t="str">
        <f aca="false">IF(LEN($L28)&lt;5,"",IF(ISNUMBER(FIND(MID($L28,5,1),"0123456789")),MID($L28,5,1),IF(ISNUMBER(FIND(MID($L28,5,1),"ABCDEFGHIJKLMNOPQRSTUVWXYZ")),CODE(MID($L28,5,1))-55,"#")))</f>
        <v/>
      </c>
      <c r="S28" s="18" t="str">
        <f aca="false">IF(LEN($L28)&lt;6,"",IF(ISNUMBER(FIND(MID($L28,6,1),"0123456789")),MID($L28,6,1),IF(ISNUMBER(FIND(MID($L28,6,1),"ABCDEFGHIJKLMNOPQRSTUVWXYZ")),CODE(MID($L28,6,1))-55,"#")))</f>
        <v/>
      </c>
      <c r="T28" s="18" t="str">
        <f aca="false">IF(LEN($L28)&lt;7,"",IF(ISNUMBER(FIND(MID($L28,7,1),"0123456789")),MID($L28,7,1),IF(ISNUMBER(FIND(MID($L28,7,1),"ABCDEFGHIJKLMNOPQRSTUVWXYZ")),CODE(MID($L28,7,1))-55,"#")))</f>
        <v/>
      </c>
      <c r="U28" s="18" t="str">
        <f aca="false">IF(LEN($L28)&lt;8,"",IF(ISNUMBER(FIND(MID($L28,8,1),"0123456789")),MID($L28,8,1),IF(ISNUMBER(FIND(MID($L28,8,1),"ABCDEFGHIJKLMNOPQRSTUVWXYZ")),CODE(MID($L28,8,1))-55,"#")))</f>
        <v/>
      </c>
      <c r="V28" s="18" t="str">
        <f aca="false">IF(LEN($L28)&lt;9,"",IF(ISNUMBER(FIND(MID($L28,9,1),"0123456789")),MID($L28,9,1),IF(ISNUMBER(FIND(MID($L28,9,1),"ABCDEFGHIJKLMNOPQRSTUVWXYZ")),CODE(MID($L28,9,1))-55,"#")))</f>
        <v/>
      </c>
      <c r="W28" s="18" t="str">
        <f aca="false">IF(LEN($L28)&lt;10,"",IF(ISNUMBER(FIND(MID($L28,10,1),"0123456789")),MID($L28,10,1),IF(ISNUMBER(FIND(MID($L28,10,1),"ABCDEFGHIJKLMNOPQRSTUVWXYZ")),CODE(MID($L28,10,1))-55,"#")))</f>
        <v/>
      </c>
      <c r="X28" s="18" t="str">
        <f aca="false">IF(LEN($L28)&lt;11,"",IF(ISNUMBER(FIND(MID($L28,11,1),"0123456789")),MID($L28,11,1),IF(ISNUMBER(FIND(MID($L28,11,1),"ABCDEFGHIJKLMNOPQRSTUVWXYZ")),CODE(MID($L28,11,1))-55,"#")))</f>
        <v/>
      </c>
      <c r="Y28" s="18" t="str">
        <f aca="false">IF(LEN($L28)&lt;12,"",IF(ISNUMBER(FIND(MID($L28,12,1),"0123456789")),MID($L28,12,1),IF(ISNUMBER(FIND(MID($L28,12,1),"ABCDEFGHIJKLMNOPQRSTUVWXYZ")),CODE(MID($L28,12,1))-55,"#")))</f>
        <v/>
      </c>
      <c r="Z28" s="18" t="str">
        <f aca="false">IF(LEN($L28)&lt;13,"",IF(ISNUMBER(FIND(MID($L28,13,1),"0123456789")),MID($L28,13,1),IF(ISNUMBER(FIND(MID($L28,13,1),"ABCDEFGHIJKLMNOPQRSTUVWXYZ")),CODE(MID($L28,13,1))-55,"#")))</f>
        <v/>
      </c>
      <c r="AA28" s="18" t="str">
        <f aca="false">IF(LEN($L28)&lt;14,"",IF(ISNUMBER(FIND(MID($L28,14,1),"0123456789")),MID($L28,14,1),IF(ISNUMBER(FIND(MID($L28,14,1),"ABCDEFGHIJKLMNOPQRSTUVWXYZ")),CODE(MID($L28,14,1))-55,"#")))</f>
        <v/>
      </c>
      <c r="AB28" s="18" t="str">
        <f aca="false">IF(LEN($L28)&lt;15,"",IF(ISNUMBER(FIND(MID($L28,15,1),"0123456789")),MID($L28,15,1),IF(ISNUMBER(FIND(MID($L28,15,1),"ABCDEFGHIJKLMNOPQRSTUVWXYZ")),CODE(MID($L28,15,1))-55,"#")))</f>
        <v/>
      </c>
      <c r="AC28" s="18" t="str">
        <f aca="false">IF(LEN($L28)&lt;16,"",IF(ISNUMBER(FIND(MID($L28,16,1),"0123456789")),MID($L28,16,1),IF(ISNUMBER(FIND(MID($L28,16,1),"ABCDEFGHIJKLMNOPQRSTUVWXYZ")),CODE(MID($L28,16,1))-55,"#")))</f>
        <v/>
      </c>
      <c r="AD28" s="18" t="str">
        <f aca="false">IF(LEN($L28)&lt;17,"",IF(ISNUMBER(FIND(MID($L28,17,1),"0123456789")),MID($L28,17,1),IF(ISNUMBER(FIND(MID($L28,17,1),"ABCDEFGHIJKLMNOPQRSTUVWXYZ")),CODE(MID($L28,17,1))-55,"#")))</f>
        <v/>
      </c>
      <c r="AE28" s="18" t="str">
        <f aca="false">IF(LEN($L28)&lt;18,"",IF(ISNUMBER(FIND(MID($L28,18,1),"0123456789")),MID($L28,18,1),IF(ISNUMBER(FIND(MID($L28,18,1),"ABCDEFGHIJKLMNOPQRSTUVWXYZ")),CODE(MID($L28,18,1))-55,"#")))</f>
        <v/>
      </c>
      <c r="AF28" s="18" t="str">
        <f aca="false">IF(LEN($L28)&lt;19,"",IF(ISNUMBER(FIND(MID($L28,19,1),"0123456789")),MID($L28,19,1),IF(ISNUMBER(FIND(MID($L28,19,1),"ABCDEFGHIJKLMNOPQRSTUVWXYZ")),CODE(MID($L28,19,1))-55,"#")))</f>
        <v/>
      </c>
      <c r="AG28" s="18" t="str">
        <f aca="false">IF(LEN($L28)&lt;20,"",IF(ISNUMBER(FIND(MID($L28,20,1),"0123456789")),MID($L28,20,1),IF(ISNUMBER(FIND(MID($L28,20,1),"ABCDEFGHIJKLMNOPQRSTUVWXYZ")),CODE(MID($L28,20,1))-55,"#")))</f>
        <v/>
      </c>
      <c r="AH28" s="18" t="str">
        <f aca="false">IF(LEN($L28)&lt;21,"",IF(ISNUMBER(FIND(MID($L28,21,1),"0123456789")),MID($L28,21,1),IF(ISNUMBER(FIND(MID($L28,21,1),"ABCDEFGHIJKLMNOPQRSTUVWXYZ")),CODE(MID($L28,21,1))-55,"#")))</f>
        <v/>
      </c>
      <c r="AI28" s="18" t="str">
        <f aca="false">IF(LEN($L28)&lt;22,"",IF(ISNUMBER(FIND(MID($L28,22,1),"0123456789")),MID($L28,22,1),IF(ISNUMBER(FIND(MID($L28,22,1),"ABCDEFGHIJKLMNOPQRSTUVWXYZ")),CODE(MID($L28,22,1))-55,"#")))</f>
        <v/>
      </c>
      <c r="AJ28" s="18" t="str">
        <f aca="false">IF(LEN($L28)&lt;23,"",IF(ISNUMBER(FIND(MID($L28,23,1),"0123456789")),MID($L28,23,1),IF(ISNUMBER(FIND(MID($L28,23,1),"ABCDEFGHIJKLMNOPQRSTUVWXYZ")),CODE(MID($L28,23,1))-55,"#")))</f>
        <v/>
      </c>
      <c r="AK28" s="18" t="str">
        <f aca="false">IF(LEN($L28)&lt;24,"",IF(ISNUMBER(FIND(MID($L28,24,1),"0123456789")),MID($L28,24,1),IF(ISNUMBER(FIND(MID($L28,24,1),"ABCDEFGHIJKLMNOPQRSTUVWXYZ")),CODE(MID($L28,24,1))-55,"#")))</f>
        <v/>
      </c>
      <c r="AL28" s="18" t="str">
        <f aca="false">IF(LEN($L28)&lt;25,"",IF(ISNUMBER(FIND(MID($L28,25,1),"0123456789")),MID($L28,25,1),IF(ISNUMBER(FIND(MID($L28,25,1),"ABCDEFGHIJKLMNOPQRSTUVWXYZ")),CODE(MID($L28,25,1))-55,"#")))</f>
        <v/>
      </c>
      <c r="AM28" s="18" t="str">
        <f aca="false">IF(LEN($L28)&lt;26,"",IF(ISNUMBER(FIND(MID($L28,26,1),"0123456789")),MID($L28,26,1),IF(ISNUMBER(FIND(MID($L28,26,1),"ABCDEFGHIJKLMNOPQRSTUVWXYZ")),CODE(MID($L28,26,1))-55,"#")))</f>
        <v/>
      </c>
      <c r="AN28" s="18" t="str">
        <f aca="false">IF(LEN($L28)&lt;27,"",IF(ISNUMBER(FIND(MID($L28,27,1),"0123456789")),MID($L28,27,1),IF(ISNUMBER(FIND(MID($L28,27,1),"ABCDEFGHIJKLMNOPQRSTUVWXYZ")),CODE(MID($L28,27,1))-55,"#")))</f>
        <v/>
      </c>
      <c r="AO28" s="18" t="str">
        <f aca="false">IF(LEN($L28)&lt;28,"",IF(ISNUMBER(FIND(MID($L28,28,1),"0123456789")),MID($L28,28,1),IF(ISNUMBER(FIND(MID($L28,28,1),"ABCDEFGHIJKLMNOPQRSTUVWXYZ")),CODE(MID($L28,28,1))-55,"#")))</f>
        <v/>
      </c>
      <c r="AP28" s="18" t="str">
        <f aca="false">IF(LEN($L28)&lt;29,"",IF(ISNUMBER(FIND(MID($L28,29,1),"0123456789")),MID($L28,29,1),IF(ISNUMBER(FIND(MID($L28,29,1),"ABCDEFGHIJKLMNOPQRSTUVWXYZ")),CODE(MID($L28,29,1))-55,"#")))</f>
        <v/>
      </c>
      <c r="AQ28" s="18" t="str">
        <f aca="false">IF(LEN($L28)&lt;30,"",IF(ISNUMBER(FIND(MID($L28,30,1),"0123456789")),MID($L28,30,1),IF(ISNUMBER(FIND(MID($L28,30,1),"ABCDEFGHIJKLMNOPQRSTUVWXYZ")),CODE(MID($L28,30,1))-55,"#")))</f>
        <v/>
      </c>
      <c r="AR28" s="18" t="str">
        <f aca="false">IF(LEN($L28)&lt;31,"",IF(ISNUMBER(FIND(MID($L28,31,1),"0123456789")),MID($L28,31,1),IF(ISNUMBER(FIND(MID($L28,31,1),"ABCDEFGHIJKLMNOPQRSTUVWXYZ")),CODE(MID($L28,31,1))-55,"#")))</f>
        <v/>
      </c>
      <c r="AS28" s="18" t="str">
        <f aca="false">IF(LEN($L28)&lt;32,"",IF(ISNUMBER(FIND(MID($L28,32,1),"0123456789")),MID($L28,32,1),IF(ISNUMBER(FIND(MID($L28,32,1),"ABCDEFGHIJKLMNOPQRSTUVWXYZ")),CODE(MID($L28,32,1))-55,"#")))</f>
        <v/>
      </c>
      <c r="AT28" s="18" t="str">
        <f aca="false">IF(LEN($L28)&lt;33,"",IF(ISNUMBER(FIND(MID($L28,33,1),"0123456789")),MID($L28,33,1),IF(ISNUMBER(FIND(MID($L28,33,1),"ABCDEFGHIJKLMNOPQRSTUVWXYZ")),CODE(MID($L28,33,1))-55,"#")))</f>
        <v/>
      </c>
      <c r="AU28" s="18" t="str">
        <f aca="false">IF(LEN($L28)&lt;34,"",IF(ISNUMBER(FIND(MID($L28,34,1),"0123456789")),MID($L28,34,1),IF(ISNUMBER(FIND(MID($L28,34,1),"ABCDEFGHIJKLMNOPQRSTUVWXYZ")),CODE(MID($L28,34,1))-55,"#")))</f>
        <v/>
      </c>
      <c r="AV28" s="18" t="str">
        <f aca="false">_xlfn.CONCAT(N28:AU28)</f>
        <v/>
      </c>
      <c r="AW28" s="18" t="str">
        <f aca="false">IF(OR(AV28="",M28=FALSE()),"",MOD(VALUE(MID(AV28,1,9)),97))</f>
        <v/>
      </c>
      <c r="AX28" s="18" t="str">
        <f aca="false">IF(AW28="","",MOD(VALUE(AW28&amp;MID(AV28,10,7)),97))</f>
        <v/>
      </c>
      <c r="AY28" s="18" t="str">
        <f aca="false">IF(AX28="","",MOD(VALUE(AX28&amp;MID(AV28,17,7)),97))</f>
        <v/>
      </c>
      <c r="AZ28" s="18" t="str">
        <f aca="false">IF(AY28="","",MOD(VALUE(AY28&amp;MID(AV28,24,7)),97))</f>
        <v/>
      </c>
      <c r="BA28" s="18" t="str">
        <f aca="false">IF(AZ28="","",MOD(VALUE(AZ28&amp;MID(AV28,31,7)),97))</f>
        <v/>
      </c>
      <c r="BB28" s="18" t="str">
        <f aca="false">IF(BA28="","",MOD(VALUE(BA28&amp;MID(AV28,38,7)),97))</f>
        <v/>
      </c>
      <c r="BC28" s="18" t="str">
        <f aca="false">IF(BB28="","",MOD(VALUE(BB28&amp;MID(AV28,45,7)),97))</f>
        <v/>
      </c>
      <c r="BD28" s="18" t="str">
        <f aca="false">IF(BC28="","",MOD(VALUE(BC28&amp;MID(AV28,52,7)),97))</f>
        <v/>
      </c>
      <c r="BE28" s="18" t="str">
        <f aca="false">IF(BD28="","",MOD(VALUE(BD28&amp;MID(AV28,59,7)),97))</f>
        <v/>
      </c>
      <c r="BF28" s="18" t="str">
        <f aca="false">IF(BE28="","",MOD(VALUE(BE28&amp;MID(AV28,66,7)),97))</f>
        <v/>
      </c>
    </row>
    <row r="29" customFormat="false" ht="15" hidden="false" customHeight="false" outlineLevel="0" collapsed="false">
      <c r="A29" s="11"/>
      <c r="B29" s="5" t="str">
        <f aca="false">UPPER(SUBSTITUTE(SUBSTITUTE(SUBSTITUTE(TRIM(A29)," ",""),"-",""),CHAR(160),""))</f>
        <v/>
      </c>
      <c r="C29" s="5" t="str">
        <f aca="false">IF(B29="","",LEN(B29))</f>
        <v/>
      </c>
      <c r="D29" s="5" t="str">
        <f aca="false">IF(B29="","",LEFT(B29,2))</f>
        <v/>
      </c>
      <c r="E29" s="5" t="str">
        <f aca="false">IF(B29="","",MID(B29,3,2))</f>
        <v/>
      </c>
      <c r="F29" s="5" t="str">
        <f aca="false">IF(B29="","",MID(B29,5,2))</f>
        <v/>
      </c>
      <c r="G29" s="5" t="str">
        <f aca="false">IF(B29="","",IFERROR(INDEX('رموز البنوك'!$C$5:$C$30,MATCH(F29,'رموز البنوك'!$B$5:$B$30,0)),"رمز غير معروف"))</f>
        <v/>
      </c>
      <c r="H29" s="5" t="str">
        <f aca="false">BF29</f>
        <v/>
      </c>
      <c r="I29" s="5" t="str">
        <f aca="false">IF(OR(H29="",NOT(AND(ISNUMBER(FIND(MID(B29,3,1),"0123456789")),ISNUMBER(FIND(MID(B29,4,1),"0123456789"))))),"",TEXT(98-MOD(H29-VALUE(E29),97),"00"))</f>
        <v/>
      </c>
      <c r="J29" s="4" t="str">
        <f aca="false">IF(B29="","",IF(LEFT(K29,10)="آيبان صحيح","صحيح ✓","غير صحيح ✗"))</f>
        <v/>
      </c>
      <c r="K29" s="10" t="str">
        <f aca="false">IF(B29="","",IF(M29=FALSE(),"يحتوي رموزاً غير مسموحة (المسموح A–Z و 0–9 فقط)",IF(D29&lt;&gt;"SA","رمز الدولة "&amp;D29&amp;" — هذا المدقق للآيبان السعودي SA",IF(C29&lt;&gt;24,"الطول "&amp;C29&amp;" خانة والمطلوب 24",IF(NOT(AND(ISNUMBER(FIND(MID(B29,3,1),"0123456789")),ISNUMBER(FIND(MID(B29,4,1),"0123456789")))),"خانتا التدقيق يجب أن تكونا رقمين",IF(ISERROR(VALUE(MID(B29,5,20))),"رمز البنك ورقم الحساب يجب أن يكونا أرقاماً",IF(H29&lt;&gt;1,"فشل اختبار MOD-97 (الباقي "&amp;H29&amp;" وليس 1) — خطأ في كتابة الرقم؛ خانتا التدقيق الصحيحتان لهذا الحساب "&amp;I29,IF(G29="رمز غير معروف","اجتاز MOD-97 لكن رمز البنك "&amp;F29&amp;" غير مسجل في جدول البنوك","آيبان صحيح — "&amp;G29))))))))</f>
        <v/>
      </c>
      <c r="L29" s="18" t="str">
        <f aca="false">IF(B29="","",MID(B29,5,40)&amp;LEFT(B29,4))</f>
        <v/>
      </c>
      <c r="M29" s="18" t="str">
        <f aca="false">IF(L29="","",NOT(ISNUMBER(FIND("#",AV29))))</f>
        <v/>
      </c>
      <c r="N29" s="18" t="str">
        <f aca="false">IF(LEN($L29)&lt;1,"",IF(ISNUMBER(FIND(MID($L29,1,1),"0123456789")),MID($L29,1,1),IF(ISNUMBER(FIND(MID($L29,1,1),"ABCDEFGHIJKLMNOPQRSTUVWXYZ")),CODE(MID($L29,1,1))-55,"#")))</f>
        <v/>
      </c>
      <c r="O29" s="18" t="str">
        <f aca="false">IF(LEN($L29)&lt;2,"",IF(ISNUMBER(FIND(MID($L29,2,1),"0123456789")),MID($L29,2,1),IF(ISNUMBER(FIND(MID($L29,2,1),"ABCDEFGHIJKLMNOPQRSTUVWXYZ")),CODE(MID($L29,2,1))-55,"#")))</f>
        <v/>
      </c>
      <c r="P29" s="18" t="str">
        <f aca="false">IF(LEN($L29)&lt;3,"",IF(ISNUMBER(FIND(MID($L29,3,1),"0123456789")),MID($L29,3,1),IF(ISNUMBER(FIND(MID($L29,3,1),"ABCDEFGHIJKLMNOPQRSTUVWXYZ")),CODE(MID($L29,3,1))-55,"#")))</f>
        <v/>
      </c>
      <c r="Q29" s="18" t="str">
        <f aca="false">IF(LEN($L29)&lt;4,"",IF(ISNUMBER(FIND(MID($L29,4,1),"0123456789")),MID($L29,4,1),IF(ISNUMBER(FIND(MID($L29,4,1),"ABCDEFGHIJKLMNOPQRSTUVWXYZ")),CODE(MID($L29,4,1))-55,"#")))</f>
        <v/>
      </c>
      <c r="R29" s="18" t="str">
        <f aca="false">IF(LEN($L29)&lt;5,"",IF(ISNUMBER(FIND(MID($L29,5,1),"0123456789")),MID($L29,5,1),IF(ISNUMBER(FIND(MID($L29,5,1),"ABCDEFGHIJKLMNOPQRSTUVWXYZ")),CODE(MID($L29,5,1))-55,"#")))</f>
        <v/>
      </c>
      <c r="S29" s="18" t="str">
        <f aca="false">IF(LEN($L29)&lt;6,"",IF(ISNUMBER(FIND(MID($L29,6,1),"0123456789")),MID($L29,6,1),IF(ISNUMBER(FIND(MID($L29,6,1),"ABCDEFGHIJKLMNOPQRSTUVWXYZ")),CODE(MID($L29,6,1))-55,"#")))</f>
        <v/>
      </c>
      <c r="T29" s="18" t="str">
        <f aca="false">IF(LEN($L29)&lt;7,"",IF(ISNUMBER(FIND(MID($L29,7,1),"0123456789")),MID($L29,7,1),IF(ISNUMBER(FIND(MID($L29,7,1),"ABCDEFGHIJKLMNOPQRSTUVWXYZ")),CODE(MID($L29,7,1))-55,"#")))</f>
        <v/>
      </c>
      <c r="U29" s="18" t="str">
        <f aca="false">IF(LEN($L29)&lt;8,"",IF(ISNUMBER(FIND(MID($L29,8,1),"0123456789")),MID($L29,8,1),IF(ISNUMBER(FIND(MID($L29,8,1),"ABCDEFGHIJKLMNOPQRSTUVWXYZ")),CODE(MID($L29,8,1))-55,"#")))</f>
        <v/>
      </c>
      <c r="V29" s="18" t="str">
        <f aca="false">IF(LEN($L29)&lt;9,"",IF(ISNUMBER(FIND(MID($L29,9,1),"0123456789")),MID($L29,9,1),IF(ISNUMBER(FIND(MID($L29,9,1),"ABCDEFGHIJKLMNOPQRSTUVWXYZ")),CODE(MID($L29,9,1))-55,"#")))</f>
        <v/>
      </c>
      <c r="W29" s="18" t="str">
        <f aca="false">IF(LEN($L29)&lt;10,"",IF(ISNUMBER(FIND(MID($L29,10,1),"0123456789")),MID($L29,10,1),IF(ISNUMBER(FIND(MID($L29,10,1),"ABCDEFGHIJKLMNOPQRSTUVWXYZ")),CODE(MID($L29,10,1))-55,"#")))</f>
        <v/>
      </c>
      <c r="X29" s="18" t="str">
        <f aca="false">IF(LEN($L29)&lt;11,"",IF(ISNUMBER(FIND(MID($L29,11,1),"0123456789")),MID($L29,11,1),IF(ISNUMBER(FIND(MID($L29,11,1),"ABCDEFGHIJKLMNOPQRSTUVWXYZ")),CODE(MID($L29,11,1))-55,"#")))</f>
        <v/>
      </c>
      <c r="Y29" s="18" t="str">
        <f aca="false">IF(LEN($L29)&lt;12,"",IF(ISNUMBER(FIND(MID($L29,12,1),"0123456789")),MID($L29,12,1),IF(ISNUMBER(FIND(MID($L29,12,1),"ABCDEFGHIJKLMNOPQRSTUVWXYZ")),CODE(MID($L29,12,1))-55,"#")))</f>
        <v/>
      </c>
      <c r="Z29" s="18" t="str">
        <f aca="false">IF(LEN($L29)&lt;13,"",IF(ISNUMBER(FIND(MID($L29,13,1),"0123456789")),MID($L29,13,1),IF(ISNUMBER(FIND(MID($L29,13,1),"ABCDEFGHIJKLMNOPQRSTUVWXYZ")),CODE(MID($L29,13,1))-55,"#")))</f>
        <v/>
      </c>
      <c r="AA29" s="18" t="str">
        <f aca="false">IF(LEN($L29)&lt;14,"",IF(ISNUMBER(FIND(MID($L29,14,1),"0123456789")),MID($L29,14,1),IF(ISNUMBER(FIND(MID($L29,14,1),"ABCDEFGHIJKLMNOPQRSTUVWXYZ")),CODE(MID($L29,14,1))-55,"#")))</f>
        <v/>
      </c>
      <c r="AB29" s="18" t="str">
        <f aca="false">IF(LEN($L29)&lt;15,"",IF(ISNUMBER(FIND(MID($L29,15,1),"0123456789")),MID($L29,15,1),IF(ISNUMBER(FIND(MID($L29,15,1),"ABCDEFGHIJKLMNOPQRSTUVWXYZ")),CODE(MID($L29,15,1))-55,"#")))</f>
        <v/>
      </c>
      <c r="AC29" s="18" t="str">
        <f aca="false">IF(LEN($L29)&lt;16,"",IF(ISNUMBER(FIND(MID($L29,16,1),"0123456789")),MID($L29,16,1),IF(ISNUMBER(FIND(MID($L29,16,1),"ABCDEFGHIJKLMNOPQRSTUVWXYZ")),CODE(MID($L29,16,1))-55,"#")))</f>
        <v/>
      </c>
      <c r="AD29" s="18" t="str">
        <f aca="false">IF(LEN($L29)&lt;17,"",IF(ISNUMBER(FIND(MID($L29,17,1),"0123456789")),MID($L29,17,1),IF(ISNUMBER(FIND(MID($L29,17,1),"ABCDEFGHIJKLMNOPQRSTUVWXYZ")),CODE(MID($L29,17,1))-55,"#")))</f>
        <v/>
      </c>
      <c r="AE29" s="18" t="str">
        <f aca="false">IF(LEN($L29)&lt;18,"",IF(ISNUMBER(FIND(MID($L29,18,1),"0123456789")),MID($L29,18,1),IF(ISNUMBER(FIND(MID($L29,18,1),"ABCDEFGHIJKLMNOPQRSTUVWXYZ")),CODE(MID($L29,18,1))-55,"#")))</f>
        <v/>
      </c>
      <c r="AF29" s="18" t="str">
        <f aca="false">IF(LEN($L29)&lt;19,"",IF(ISNUMBER(FIND(MID($L29,19,1),"0123456789")),MID($L29,19,1),IF(ISNUMBER(FIND(MID($L29,19,1),"ABCDEFGHIJKLMNOPQRSTUVWXYZ")),CODE(MID($L29,19,1))-55,"#")))</f>
        <v/>
      </c>
      <c r="AG29" s="18" t="str">
        <f aca="false">IF(LEN($L29)&lt;20,"",IF(ISNUMBER(FIND(MID($L29,20,1),"0123456789")),MID($L29,20,1),IF(ISNUMBER(FIND(MID($L29,20,1),"ABCDEFGHIJKLMNOPQRSTUVWXYZ")),CODE(MID($L29,20,1))-55,"#")))</f>
        <v/>
      </c>
      <c r="AH29" s="18" t="str">
        <f aca="false">IF(LEN($L29)&lt;21,"",IF(ISNUMBER(FIND(MID($L29,21,1),"0123456789")),MID($L29,21,1),IF(ISNUMBER(FIND(MID($L29,21,1),"ABCDEFGHIJKLMNOPQRSTUVWXYZ")),CODE(MID($L29,21,1))-55,"#")))</f>
        <v/>
      </c>
      <c r="AI29" s="18" t="str">
        <f aca="false">IF(LEN($L29)&lt;22,"",IF(ISNUMBER(FIND(MID($L29,22,1),"0123456789")),MID($L29,22,1),IF(ISNUMBER(FIND(MID($L29,22,1),"ABCDEFGHIJKLMNOPQRSTUVWXYZ")),CODE(MID($L29,22,1))-55,"#")))</f>
        <v/>
      </c>
      <c r="AJ29" s="18" t="str">
        <f aca="false">IF(LEN($L29)&lt;23,"",IF(ISNUMBER(FIND(MID($L29,23,1),"0123456789")),MID($L29,23,1),IF(ISNUMBER(FIND(MID($L29,23,1),"ABCDEFGHIJKLMNOPQRSTUVWXYZ")),CODE(MID($L29,23,1))-55,"#")))</f>
        <v/>
      </c>
      <c r="AK29" s="18" t="str">
        <f aca="false">IF(LEN($L29)&lt;24,"",IF(ISNUMBER(FIND(MID($L29,24,1),"0123456789")),MID($L29,24,1),IF(ISNUMBER(FIND(MID($L29,24,1),"ABCDEFGHIJKLMNOPQRSTUVWXYZ")),CODE(MID($L29,24,1))-55,"#")))</f>
        <v/>
      </c>
      <c r="AL29" s="18" t="str">
        <f aca="false">IF(LEN($L29)&lt;25,"",IF(ISNUMBER(FIND(MID($L29,25,1),"0123456789")),MID($L29,25,1),IF(ISNUMBER(FIND(MID($L29,25,1),"ABCDEFGHIJKLMNOPQRSTUVWXYZ")),CODE(MID($L29,25,1))-55,"#")))</f>
        <v/>
      </c>
      <c r="AM29" s="18" t="str">
        <f aca="false">IF(LEN($L29)&lt;26,"",IF(ISNUMBER(FIND(MID($L29,26,1),"0123456789")),MID($L29,26,1),IF(ISNUMBER(FIND(MID($L29,26,1),"ABCDEFGHIJKLMNOPQRSTUVWXYZ")),CODE(MID($L29,26,1))-55,"#")))</f>
        <v/>
      </c>
      <c r="AN29" s="18" t="str">
        <f aca="false">IF(LEN($L29)&lt;27,"",IF(ISNUMBER(FIND(MID($L29,27,1),"0123456789")),MID($L29,27,1),IF(ISNUMBER(FIND(MID($L29,27,1),"ABCDEFGHIJKLMNOPQRSTUVWXYZ")),CODE(MID($L29,27,1))-55,"#")))</f>
        <v/>
      </c>
      <c r="AO29" s="18" t="str">
        <f aca="false">IF(LEN($L29)&lt;28,"",IF(ISNUMBER(FIND(MID($L29,28,1),"0123456789")),MID($L29,28,1),IF(ISNUMBER(FIND(MID($L29,28,1),"ABCDEFGHIJKLMNOPQRSTUVWXYZ")),CODE(MID($L29,28,1))-55,"#")))</f>
        <v/>
      </c>
      <c r="AP29" s="18" t="str">
        <f aca="false">IF(LEN($L29)&lt;29,"",IF(ISNUMBER(FIND(MID($L29,29,1),"0123456789")),MID($L29,29,1),IF(ISNUMBER(FIND(MID($L29,29,1),"ABCDEFGHIJKLMNOPQRSTUVWXYZ")),CODE(MID($L29,29,1))-55,"#")))</f>
        <v/>
      </c>
      <c r="AQ29" s="18" t="str">
        <f aca="false">IF(LEN($L29)&lt;30,"",IF(ISNUMBER(FIND(MID($L29,30,1),"0123456789")),MID($L29,30,1),IF(ISNUMBER(FIND(MID($L29,30,1),"ABCDEFGHIJKLMNOPQRSTUVWXYZ")),CODE(MID($L29,30,1))-55,"#")))</f>
        <v/>
      </c>
      <c r="AR29" s="18" t="str">
        <f aca="false">IF(LEN($L29)&lt;31,"",IF(ISNUMBER(FIND(MID($L29,31,1),"0123456789")),MID($L29,31,1),IF(ISNUMBER(FIND(MID($L29,31,1),"ABCDEFGHIJKLMNOPQRSTUVWXYZ")),CODE(MID($L29,31,1))-55,"#")))</f>
        <v/>
      </c>
      <c r="AS29" s="18" t="str">
        <f aca="false">IF(LEN($L29)&lt;32,"",IF(ISNUMBER(FIND(MID($L29,32,1),"0123456789")),MID($L29,32,1),IF(ISNUMBER(FIND(MID($L29,32,1),"ABCDEFGHIJKLMNOPQRSTUVWXYZ")),CODE(MID($L29,32,1))-55,"#")))</f>
        <v/>
      </c>
      <c r="AT29" s="18" t="str">
        <f aca="false">IF(LEN($L29)&lt;33,"",IF(ISNUMBER(FIND(MID($L29,33,1),"0123456789")),MID($L29,33,1),IF(ISNUMBER(FIND(MID($L29,33,1),"ABCDEFGHIJKLMNOPQRSTUVWXYZ")),CODE(MID($L29,33,1))-55,"#")))</f>
        <v/>
      </c>
      <c r="AU29" s="18" t="str">
        <f aca="false">IF(LEN($L29)&lt;34,"",IF(ISNUMBER(FIND(MID($L29,34,1),"0123456789")),MID($L29,34,1),IF(ISNUMBER(FIND(MID($L29,34,1),"ABCDEFGHIJKLMNOPQRSTUVWXYZ")),CODE(MID($L29,34,1))-55,"#")))</f>
        <v/>
      </c>
      <c r="AV29" s="18" t="str">
        <f aca="false">_xlfn.CONCAT(N29:AU29)</f>
        <v/>
      </c>
      <c r="AW29" s="18" t="str">
        <f aca="false">IF(OR(AV29="",M29=FALSE()),"",MOD(VALUE(MID(AV29,1,9)),97))</f>
        <v/>
      </c>
      <c r="AX29" s="18" t="str">
        <f aca="false">IF(AW29="","",MOD(VALUE(AW29&amp;MID(AV29,10,7)),97))</f>
        <v/>
      </c>
      <c r="AY29" s="18" t="str">
        <f aca="false">IF(AX29="","",MOD(VALUE(AX29&amp;MID(AV29,17,7)),97))</f>
        <v/>
      </c>
      <c r="AZ29" s="18" t="str">
        <f aca="false">IF(AY29="","",MOD(VALUE(AY29&amp;MID(AV29,24,7)),97))</f>
        <v/>
      </c>
      <c r="BA29" s="18" t="str">
        <f aca="false">IF(AZ29="","",MOD(VALUE(AZ29&amp;MID(AV29,31,7)),97))</f>
        <v/>
      </c>
      <c r="BB29" s="18" t="str">
        <f aca="false">IF(BA29="","",MOD(VALUE(BA29&amp;MID(AV29,38,7)),97))</f>
        <v/>
      </c>
      <c r="BC29" s="18" t="str">
        <f aca="false">IF(BB29="","",MOD(VALUE(BB29&amp;MID(AV29,45,7)),97))</f>
        <v/>
      </c>
      <c r="BD29" s="18" t="str">
        <f aca="false">IF(BC29="","",MOD(VALUE(BC29&amp;MID(AV29,52,7)),97))</f>
        <v/>
      </c>
      <c r="BE29" s="18" t="str">
        <f aca="false">IF(BD29="","",MOD(VALUE(BD29&amp;MID(AV29,59,7)),97))</f>
        <v/>
      </c>
      <c r="BF29" s="18" t="str">
        <f aca="false">IF(BE29="","",MOD(VALUE(BE29&amp;MID(AV29,66,7)),97))</f>
        <v/>
      </c>
    </row>
    <row r="30" customFormat="false" ht="15" hidden="false" customHeight="false" outlineLevel="0" collapsed="false">
      <c r="A30" s="11"/>
      <c r="B30" s="5" t="str">
        <f aca="false">UPPER(SUBSTITUTE(SUBSTITUTE(SUBSTITUTE(TRIM(A30)," ",""),"-",""),CHAR(160),""))</f>
        <v/>
      </c>
      <c r="C30" s="5" t="str">
        <f aca="false">IF(B30="","",LEN(B30))</f>
        <v/>
      </c>
      <c r="D30" s="5" t="str">
        <f aca="false">IF(B30="","",LEFT(B30,2))</f>
        <v/>
      </c>
      <c r="E30" s="5" t="str">
        <f aca="false">IF(B30="","",MID(B30,3,2))</f>
        <v/>
      </c>
      <c r="F30" s="5" t="str">
        <f aca="false">IF(B30="","",MID(B30,5,2))</f>
        <v/>
      </c>
      <c r="G30" s="5" t="str">
        <f aca="false">IF(B30="","",IFERROR(INDEX('رموز البنوك'!$C$5:$C$30,MATCH(F30,'رموز البنوك'!$B$5:$B$30,0)),"رمز غير معروف"))</f>
        <v/>
      </c>
      <c r="H30" s="5" t="str">
        <f aca="false">BF30</f>
        <v/>
      </c>
      <c r="I30" s="5" t="str">
        <f aca="false">IF(OR(H30="",NOT(AND(ISNUMBER(FIND(MID(B30,3,1),"0123456789")),ISNUMBER(FIND(MID(B30,4,1),"0123456789"))))),"",TEXT(98-MOD(H30-VALUE(E30),97),"00"))</f>
        <v/>
      </c>
      <c r="J30" s="4" t="str">
        <f aca="false">IF(B30="","",IF(LEFT(K30,10)="آيبان صحيح","صحيح ✓","غير صحيح ✗"))</f>
        <v/>
      </c>
      <c r="K30" s="10" t="str">
        <f aca="false">IF(B30="","",IF(M30=FALSE(),"يحتوي رموزاً غير مسموحة (المسموح A–Z و 0–9 فقط)",IF(D30&lt;&gt;"SA","رمز الدولة "&amp;D30&amp;" — هذا المدقق للآيبان السعودي SA",IF(C30&lt;&gt;24,"الطول "&amp;C30&amp;" خانة والمطلوب 24",IF(NOT(AND(ISNUMBER(FIND(MID(B30,3,1),"0123456789")),ISNUMBER(FIND(MID(B30,4,1),"0123456789")))),"خانتا التدقيق يجب أن تكونا رقمين",IF(ISERROR(VALUE(MID(B30,5,20))),"رمز البنك ورقم الحساب يجب أن يكونا أرقاماً",IF(H30&lt;&gt;1,"فشل اختبار MOD-97 (الباقي "&amp;H30&amp;" وليس 1) — خطأ في كتابة الرقم؛ خانتا التدقيق الصحيحتان لهذا الحساب "&amp;I30,IF(G30="رمز غير معروف","اجتاز MOD-97 لكن رمز البنك "&amp;F30&amp;" غير مسجل في جدول البنوك","آيبان صحيح — "&amp;G30))))))))</f>
        <v/>
      </c>
      <c r="L30" s="18" t="str">
        <f aca="false">IF(B30="","",MID(B30,5,40)&amp;LEFT(B30,4))</f>
        <v/>
      </c>
      <c r="M30" s="18" t="str">
        <f aca="false">IF(L30="","",NOT(ISNUMBER(FIND("#",AV30))))</f>
        <v/>
      </c>
      <c r="N30" s="18" t="str">
        <f aca="false">IF(LEN($L30)&lt;1,"",IF(ISNUMBER(FIND(MID($L30,1,1),"0123456789")),MID($L30,1,1),IF(ISNUMBER(FIND(MID($L30,1,1),"ABCDEFGHIJKLMNOPQRSTUVWXYZ")),CODE(MID($L30,1,1))-55,"#")))</f>
        <v/>
      </c>
      <c r="O30" s="18" t="str">
        <f aca="false">IF(LEN($L30)&lt;2,"",IF(ISNUMBER(FIND(MID($L30,2,1),"0123456789")),MID($L30,2,1),IF(ISNUMBER(FIND(MID($L30,2,1),"ABCDEFGHIJKLMNOPQRSTUVWXYZ")),CODE(MID($L30,2,1))-55,"#")))</f>
        <v/>
      </c>
      <c r="P30" s="18" t="str">
        <f aca="false">IF(LEN($L30)&lt;3,"",IF(ISNUMBER(FIND(MID($L30,3,1),"0123456789")),MID($L30,3,1),IF(ISNUMBER(FIND(MID($L30,3,1),"ABCDEFGHIJKLMNOPQRSTUVWXYZ")),CODE(MID($L30,3,1))-55,"#")))</f>
        <v/>
      </c>
      <c r="Q30" s="18" t="str">
        <f aca="false">IF(LEN($L30)&lt;4,"",IF(ISNUMBER(FIND(MID($L30,4,1),"0123456789")),MID($L30,4,1),IF(ISNUMBER(FIND(MID($L30,4,1),"ABCDEFGHIJKLMNOPQRSTUVWXYZ")),CODE(MID($L30,4,1))-55,"#")))</f>
        <v/>
      </c>
      <c r="R30" s="18" t="str">
        <f aca="false">IF(LEN($L30)&lt;5,"",IF(ISNUMBER(FIND(MID($L30,5,1),"0123456789")),MID($L30,5,1),IF(ISNUMBER(FIND(MID($L30,5,1),"ABCDEFGHIJKLMNOPQRSTUVWXYZ")),CODE(MID($L30,5,1))-55,"#")))</f>
        <v/>
      </c>
      <c r="S30" s="18" t="str">
        <f aca="false">IF(LEN($L30)&lt;6,"",IF(ISNUMBER(FIND(MID($L30,6,1),"0123456789")),MID($L30,6,1),IF(ISNUMBER(FIND(MID($L30,6,1),"ABCDEFGHIJKLMNOPQRSTUVWXYZ")),CODE(MID($L30,6,1))-55,"#")))</f>
        <v/>
      </c>
      <c r="T30" s="18" t="str">
        <f aca="false">IF(LEN($L30)&lt;7,"",IF(ISNUMBER(FIND(MID($L30,7,1),"0123456789")),MID($L30,7,1),IF(ISNUMBER(FIND(MID($L30,7,1),"ABCDEFGHIJKLMNOPQRSTUVWXYZ")),CODE(MID($L30,7,1))-55,"#")))</f>
        <v/>
      </c>
      <c r="U30" s="18" t="str">
        <f aca="false">IF(LEN($L30)&lt;8,"",IF(ISNUMBER(FIND(MID($L30,8,1),"0123456789")),MID($L30,8,1),IF(ISNUMBER(FIND(MID($L30,8,1),"ABCDEFGHIJKLMNOPQRSTUVWXYZ")),CODE(MID($L30,8,1))-55,"#")))</f>
        <v/>
      </c>
      <c r="V30" s="18" t="str">
        <f aca="false">IF(LEN($L30)&lt;9,"",IF(ISNUMBER(FIND(MID($L30,9,1),"0123456789")),MID($L30,9,1),IF(ISNUMBER(FIND(MID($L30,9,1),"ABCDEFGHIJKLMNOPQRSTUVWXYZ")),CODE(MID($L30,9,1))-55,"#")))</f>
        <v/>
      </c>
      <c r="W30" s="18" t="str">
        <f aca="false">IF(LEN($L30)&lt;10,"",IF(ISNUMBER(FIND(MID($L30,10,1),"0123456789")),MID($L30,10,1),IF(ISNUMBER(FIND(MID($L30,10,1),"ABCDEFGHIJKLMNOPQRSTUVWXYZ")),CODE(MID($L30,10,1))-55,"#")))</f>
        <v/>
      </c>
      <c r="X30" s="18" t="str">
        <f aca="false">IF(LEN($L30)&lt;11,"",IF(ISNUMBER(FIND(MID($L30,11,1),"0123456789")),MID($L30,11,1),IF(ISNUMBER(FIND(MID($L30,11,1),"ABCDEFGHIJKLMNOPQRSTUVWXYZ")),CODE(MID($L30,11,1))-55,"#")))</f>
        <v/>
      </c>
      <c r="Y30" s="18" t="str">
        <f aca="false">IF(LEN($L30)&lt;12,"",IF(ISNUMBER(FIND(MID($L30,12,1),"0123456789")),MID($L30,12,1),IF(ISNUMBER(FIND(MID($L30,12,1),"ABCDEFGHIJKLMNOPQRSTUVWXYZ")),CODE(MID($L30,12,1))-55,"#")))</f>
        <v/>
      </c>
      <c r="Z30" s="18" t="str">
        <f aca="false">IF(LEN($L30)&lt;13,"",IF(ISNUMBER(FIND(MID($L30,13,1),"0123456789")),MID($L30,13,1),IF(ISNUMBER(FIND(MID($L30,13,1),"ABCDEFGHIJKLMNOPQRSTUVWXYZ")),CODE(MID($L30,13,1))-55,"#")))</f>
        <v/>
      </c>
      <c r="AA30" s="18" t="str">
        <f aca="false">IF(LEN($L30)&lt;14,"",IF(ISNUMBER(FIND(MID($L30,14,1),"0123456789")),MID($L30,14,1),IF(ISNUMBER(FIND(MID($L30,14,1),"ABCDEFGHIJKLMNOPQRSTUVWXYZ")),CODE(MID($L30,14,1))-55,"#")))</f>
        <v/>
      </c>
      <c r="AB30" s="18" t="str">
        <f aca="false">IF(LEN($L30)&lt;15,"",IF(ISNUMBER(FIND(MID($L30,15,1),"0123456789")),MID($L30,15,1),IF(ISNUMBER(FIND(MID($L30,15,1),"ABCDEFGHIJKLMNOPQRSTUVWXYZ")),CODE(MID($L30,15,1))-55,"#")))</f>
        <v/>
      </c>
      <c r="AC30" s="18" t="str">
        <f aca="false">IF(LEN($L30)&lt;16,"",IF(ISNUMBER(FIND(MID($L30,16,1),"0123456789")),MID($L30,16,1),IF(ISNUMBER(FIND(MID($L30,16,1),"ABCDEFGHIJKLMNOPQRSTUVWXYZ")),CODE(MID($L30,16,1))-55,"#")))</f>
        <v/>
      </c>
      <c r="AD30" s="18" t="str">
        <f aca="false">IF(LEN($L30)&lt;17,"",IF(ISNUMBER(FIND(MID($L30,17,1),"0123456789")),MID($L30,17,1),IF(ISNUMBER(FIND(MID($L30,17,1),"ABCDEFGHIJKLMNOPQRSTUVWXYZ")),CODE(MID($L30,17,1))-55,"#")))</f>
        <v/>
      </c>
      <c r="AE30" s="18" t="str">
        <f aca="false">IF(LEN($L30)&lt;18,"",IF(ISNUMBER(FIND(MID($L30,18,1),"0123456789")),MID($L30,18,1),IF(ISNUMBER(FIND(MID($L30,18,1),"ABCDEFGHIJKLMNOPQRSTUVWXYZ")),CODE(MID($L30,18,1))-55,"#")))</f>
        <v/>
      </c>
      <c r="AF30" s="18" t="str">
        <f aca="false">IF(LEN($L30)&lt;19,"",IF(ISNUMBER(FIND(MID($L30,19,1),"0123456789")),MID($L30,19,1),IF(ISNUMBER(FIND(MID($L30,19,1),"ABCDEFGHIJKLMNOPQRSTUVWXYZ")),CODE(MID($L30,19,1))-55,"#")))</f>
        <v/>
      </c>
      <c r="AG30" s="18" t="str">
        <f aca="false">IF(LEN($L30)&lt;20,"",IF(ISNUMBER(FIND(MID($L30,20,1),"0123456789")),MID($L30,20,1),IF(ISNUMBER(FIND(MID($L30,20,1),"ABCDEFGHIJKLMNOPQRSTUVWXYZ")),CODE(MID($L30,20,1))-55,"#")))</f>
        <v/>
      </c>
      <c r="AH30" s="18" t="str">
        <f aca="false">IF(LEN($L30)&lt;21,"",IF(ISNUMBER(FIND(MID($L30,21,1),"0123456789")),MID($L30,21,1),IF(ISNUMBER(FIND(MID($L30,21,1),"ABCDEFGHIJKLMNOPQRSTUVWXYZ")),CODE(MID($L30,21,1))-55,"#")))</f>
        <v/>
      </c>
      <c r="AI30" s="18" t="str">
        <f aca="false">IF(LEN($L30)&lt;22,"",IF(ISNUMBER(FIND(MID($L30,22,1),"0123456789")),MID($L30,22,1),IF(ISNUMBER(FIND(MID($L30,22,1),"ABCDEFGHIJKLMNOPQRSTUVWXYZ")),CODE(MID($L30,22,1))-55,"#")))</f>
        <v/>
      </c>
      <c r="AJ30" s="18" t="str">
        <f aca="false">IF(LEN($L30)&lt;23,"",IF(ISNUMBER(FIND(MID($L30,23,1),"0123456789")),MID($L30,23,1),IF(ISNUMBER(FIND(MID($L30,23,1),"ABCDEFGHIJKLMNOPQRSTUVWXYZ")),CODE(MID($L30,23,1))-55,"#")))</f>
        <v/>
      </c>
      <c r="AK30" s="18" t="str">
        <f aca="false">IF(LEN($L30)&lt;24,"",IF(ISNUMBER(FIND(MID($L30,24,1),"0123456789")),MID($L30,24,1),IF(ISNUMBER(FIND(MID($L30,24,1),"ABCDEFGHIJKLMNOPQRSTUVWXYZ")),CODE(MID($L30,24,1))-55,"#")))</f>
        <v/>
      </c>
      <c r="AL30" s="18" t="str">
        <f aca="false">IF(LEN($L30)&lt;25,"",IF(ISNUMBER(FIND(MID($L30,25,1),"0123456789")),MID($L30,25,1),IF(ISNUMBER(FIND(MID($L30,25,1),"ABCDEFGHIJKLMNOPQRSTUVWXYZ")),CODE(MID($L30,25,1))-55,"#")))</f>
        <v/>
      </c>
      <c r="AM30" s="18" t="str">
        <f aca="false">IF(LEN($L30)&lt;26,"",IF(ISNUMBER(FIND(MID($L30,26,1),"0123456789")),MID($L30,26,1),IF(ISNUMBER(FIND(MID($L30,26,1),"ABCDEFGHIJKLMNOPQRSTUVWXYZ")),CODE(MID($L30,26,1))-55,"#")))</f>
        <v/>
      </c>
      <c r="AN30" s="18" t="str">
        <f aca="false">IF(LEN($L30)&lt;27,"",IF(ISNUMBER(FIND(MID($L30,27,1),"0123456789")),MID($L30,27,1),IF(ISNUMBER(FIND(MID($L30,27,1),"ABCDEFGHIJKLMNOPQRSTUVWXYZ")),CODE(MID($L30,27,1))-55,"#")))</f>
        <v/>
      </c>
      <c r="AO30" s="18" t="str">
        <f aca="false">IF(LEN($L30)&lt;28,"",IF(ISNUMBER(FIND(MID($L30,28,1),"0123456789")),MID($L30,28,1),IF(ISNUMBER(FIND(MID($L30,28,1),"ABCDEFGHIJKLMNOPQRSTUVWXYZ")),CODE(MID($L30,28,1))-55,"#")))</f>
        <v/>
      </c>
      <c r="AP30" s="18" t="str">
        <f aca="false">IF(LEN($L30)&lt;29,"",IF(ISNUMBER(FIND(MID($L30,29,1),"0123456789")),MID($L30,29,1),IF(ISNUMBER(FIND(MID($L30,29,1),"ABCDEFGHIJKLMNOPQRSTUVWXYZ")),CODE(MID($L30,29,1))-55,"#")))</f>
        <v/>
      </c>
      <c r="AQ30" s="18" t="str">
        <f aca="false">IF(LEN($L30)&lt;30,"",IF(ISNUMBER(FIND(MID($L30,30,1),"0123456789")),MID($L30,30,1),IF(ISNUMBER(FIND(MID($L30,30,1),"ABCDEFGHIJKLMNOPQRSTUVWXYZ")),CODE(MID($L30,30,1))-55,"#")))</f>
        <v/>
      </c>
      <c r="AR30" s="18" t="str">
        <f aca="false">IF(LEN($L30)&lt;31,"",IF(ISNUMBER(FIND(MID($L30,31,1),"0123456789")),MID($L30,31,1),IF(ISNUMBER(FIND(MID($L30,31,1),"ABCDEFGHIJKLMNOPQRSTUVWXYZ")),CODE(MID($L30,31,1))-55,"#")))</f>
        <v/>
      </c>
      <c r="AS30" s="18" t="str">
        <f aca="false">IF(LEN($L30)&lt;32,"",IF(ISNUMBER(FIND(MID($L30,32,1),"0123456789")),MID($L30,32,1),IF(ISNUMBER(FIND(MID($L30,32,1),"ABCDEFGHIJKLMNOPQRSTUVWXYZ")),CODE(MID($L30,32,1))-55,"#")))</f>
        <v/>
      </c>
      <c r="AT30" s="18" t="str">
        <f aca="false">IF(LEN($L30)&lt;33,"",IF(ISNUMBER(FIND(MID($L30,33,1),"0123456789")),MID($L30,33,1),IF(ISNUMBER(FIND(MID($L30,33,1),"ABCDEFGHIJKLMNOPQRSTUVWXYZ")),CODE(MID($L30,33,1))-55,"#")))</f>
        <v/>
      </c>
      <c r="AU30" s="18" t="str">
        <f aca="false">IF(LEN($L30)&lt;34,"",IF(ISNUMBER(FIND(MID($L30,34,1),"0123456789")),MID($L30,34,1),IF(ISNUMBER(FIND(MID($L30,34,1),"ABCDEFGHIJKLMNOPQRSTUVWXYZ")),CODE(MID($L30,34,1))-55,"#")))</f>
        <v/>
      </c>
      <c r="AV30" s="18" t="str">
        <f aca="false">_xlfn.CONCAT(N30:AU30)</f>
        <v/>
      </c>
      <c r="AW30" s="18" t="str">
        <f aca="false">IF(OR(AV30="",M30=FALSE()),"",MOD(VALUE(MID(AV30,1,9)),97))</f>
        <v/>
      </c>
      <c r="AX30" s="18" t="str">
        <f aca="false">IF(AW30="","",MOD(VALUE(AW30&amp;MID(AV30,10,7)),97))</f>
        <v/>
      </c>
      <c r="AY30" s="18" t="str">
        <f aca="false">IF(AX30="","",MOD(VALUE(AX30&amp;MID(AV30,17,7)),97))</f>
        <v/>
      </c>
      <c r="AZ30" s="18" t="str">
        <f aca="false">IF(AY30="","",MOD(VALUE(AY30&amp;MID(AV30,24,7)),97))</f>
        <v/>
      </c>
      <c r="BA30" s="18" t="str">
        <f aca="false">IF(AZ30="","",MOD(VALUE(AZ30&amp;MID(AV30,31,7)),97))</f>
        <v/>
      </c>
      <c r="BB30" s="18" t="str">
        <f aca="false">IF(BA30="","",MOD(VALUE(BA30&amp;MID(AV30,38,7)),97))</f>
        <v/>
      </c>
      <c r="BC30" s="18" t="str">
        <f aca="false">IF(BB30="","",MOD(VALUE(BB30&amp;MID(AV30,45,7)),97))</f>
        <v/>
      </c>
      <c r="BD30" s="18" t="str">
        <f aca="false">IF(BC30="","",MOD(VALUE(BC30&amp;MID(AV30,52,7)),97))</f>
        <v/>
      </c>
      <c r="BE30" s="18" t="str">
        <f aca="false">IF(BD30="","",MOD(VALUE(BD30&amp;MID(AV30,59,7)),97))</f>
        <v/>
      </c>
      <c r="BF30" s="18" t="str">
        <f aca="false">IF(BE30="","",MOD(VALUE(BE30&amp;MID(AV30,66,7)),97))</f>
        <v/>
      </c>
    </row>
    <row r="31" customFormat="false" ht="15" hidden="false" customHeight="false" outlineLevel="0" collapsed="false">
      <c r="A31" s="11"/>
      <c r="B31" s="5" t="str">
        <f aca="false">UPPER(SUBSTITUTE(SUBSTITUTE(SUBSTITUTE(TRIM(A31)," ",""),"-",""),CHAR(160),""))</f>
        <v/>
      </c>
      <c r="C31" s="5" t="str">
        <f aca="false">IF(B31="","",LEN(B31))</f>
        <v/>
      </c>
      <c r="D31" s="5" t="str">
        <f aca="false">IF(B31="","",LEFT(B31,2))</f>
        <v/>
      </c>
      <c r="E31" s="5" t="str">
        <f aca="false">IF(B31="","",MID(B31,3,2))</f>
        <v/>
      </c>
      <c r="F31" s="5" t="str">
        <f aca="false">IF(B31="","",MID(B31,5,2))</f>
        <v/>
      </c>
      <c r="G31" s="5" t="str">
        <f aca="false">IF(B31="","",IFERROR(INDEX('رموز البنوك'!$C$5:$C$30,MATCH(F31,'رموز البنوك'!$B$5:$B$30,0)),"رمز غير معروف"))</f>
        <v/>
      </c>
      <c r="H31" s="5" t="str">
        <f aca="false">BF31</f>
        <v/>
      </c>
      <c r="I31" s="5" t="str">
        <f aca="false">IF(OR(H31="",NOT(AND(ISNUMBER(FIND(MID(B31,3,1),"0123456789")),ISNUMBER(FIND(MID(B31,4,1),"0123456789"))))),"",TEXT(98-MOD(H31-VALUE(E31),97),"00"))</f>
        <v/>
      </c>
      <c r="J31" s="4" t="str">
        <f aca="false">IF(B31="","",IF(LEFT(K31,10)="آيبان صحيح","صحيح ✓","غير صحيح ✗"))</f>
        <v/>
      </c>
      <c r="K31" s="10" t="str">
        <f aca="false">IF(B31="","",IF(M31=FALSE(),"يحتوي رموزاً غير مسموحة (المسموح A–Z و 0–9 فقط)",IF(D31&lt;&gt;"SA","رمز الدولة "&amp;D31&amp;" — هذا المدقق للآيبان السعودي SA",IF(C31&lt;&gt;24,"الطول "&amp;C31&amp;" خانة والمطلوب 24",IF(NOT(AND(ISNUMBER(FIND(MID(B31,3,1),"0123456789")),ISNUMBER(FIND(MID(B31,4,1),"0123456789")))),"خانتا التدقيق يجب أن تكونا رقمين",IF(ISERROR(VALUE(MID(B31,5,20))),"رمز البنك ورقم الحساب يجب أن يكونا أرقاماً",IF(H31&lt;&gt;1,"فشل اختبار MOD-97 (الباقي "&amp;H31&amp;" وليس 1) — خطأ في كتابة الرقم؛ خانتا التدقيق الصحيحتان لهذا الحساب "&amp;I31,IF(G31="رمز غير معروف","اجتاز MOD-97 لكن رمز البنك "&amp;F31&amp;" غير مسجل في جدول البنوك","آيبان صحيح — "&amp;G31))))))))</f>
        <v/>
      </c>
      <c r="L31" s="18" t="str">
        <f aca="false">IF(B31="","",MID(B31,5,40)&amp;LEFT(B31,4))</f>
        <v/>
      </c>
      <c r="M31" s="18" t="str">
        <f aca="false">IF(L31="","",NOT(ISNUMBER(FIND("#",AV31))))</f>
        <v/>
      </c>
      <c r="N31" s="18" t="str">
        <f aca="false">IF(LEN($L31)&lt;1,"",IF(ISNUMBER(FIND(MID($L31,1,1),"0123456789")),MID($L31,1,1),IF(ISNUMBER(FIND(MID($L31,1,1),"ABCDEFGHIJKLMNOPQRSTUVWXYZ")),CODE(MID($L31,1,1))-55,"#")))</f>
        <v/>
      </c>
      <c r="O31" s="18" t="str">
        <f aca="false">IF(LEN($L31)&lt;2,"",IF(ISNUMBER(FIND(MID($L31,2,1),"0123456789")),MID($L31,2,1),IF(ISNUMBER(FIND(MID($L31,2,1),"ABCDEFGHIJKLMNOPQRSTUVWXYZ")),CODE(MID($L31,2,1))-55,"#")))</f>
        <v/>
      </c>
      <c r="P31" s="18" t="str">
        <f aca="false">IF(LEN($L31)&lt;3,"",IF(ISNUMBER(FIND(MID($L31,3,1),"0123456789")),MID($L31,3,1),IF(ISNUMBER(FIND(MID($L31,3,1),"ABCDEFGHIJKLMNOPQRSTUVWXYZ")),CODE(MID($L31,3,1))-55,"#")))</f>
        <v/>
      </c>
      <c r="Q31" s="18" t="str">
        <f aca="false">IF(LEN($L31)&lt;4,"",IF(ISNUMBER(FIND(MID($L31,4,1),"0123456789")),MID($L31,4,1),IF(ISNUMBER(FIND(MID($L31,4,1),"ABCDEFGHIJKLMNOPQRSTUVWXYZ")),CODE(MID($L31,4,1))-55,"#")))</f>
        <v/>
      </c>
      <c r="R31" s="18" t="str">
        <f aca="false">IF(LEN($L31)&lt;5,"",IF(ISNUMBER(FIND(MID($L31,5,1),"0123456789")),MID($L31,5,1),IF(ISNUMBER(FIND(MID($L31,5,1),"ABCDEFGHIJKLMNOPQRSTUVWXYZ")),CODE(MID($L31,5,1))-55,"#")))</f>
        <v/>
      </c>
      <c r="S31" s="18" t="str">
        <f aca="false">IF(LEN($L31)&lt;6,"",IF(ISNUMBER(FIND(MID($L31,6,1),"0123456789")),MID($L31,6,1),IF(ISNUMBER(FIND(MID($L31,6,1),"ABCDEFGHIJKLMNOPQRSTUVWXYZ")),CODE(MID($L31,6,1))-55,"#")))</f>
        <v/>
      </c>
      <c r="T31" s="18" t="str">
        <f aca="false">IF(LEN($L31)&lt;7,"",IF(ISNUMBER(FIND(MID($L31,7,1),"0123456789")),MID($L31,7,1),IF(ISNUMBER(FIND(MID($L31,7,1),"ABCDEFGHIJKLMNOPQRSTUVWXYZ")),CODE(MID($L31,7,1))-55,"#")))</f>
        <v/>
      </c>
      <c r="U31" s="18" t="str">
        <f aca="false">IF(LEN($L31)&lt;8,"",IF(ISNUMBER(FIND(MID($L31,8,1),"0123456789")),MID($L31,8,1),IF(ISNUMBER(FIND(MID($L31,8,1),"ABCDEFGHIJKLMNOPQRSTUVWXYZ")),CODE(MID($L31,8,1))-55,"#")))</f>
        <v/>
      </c>
      <c r="V31" s="18" t="str">
        <f aca="false">IF(LEN($L31)&lt;9,"",IF(ISNUMBER(FIND(MID($L31,9,1),"0123456789")),MID($L31,9,1),IF(ISNUMBER(FIND(MID($L31,9,1),"ABCDEFGHIJKLMNOPQRSTUVWXYZ")),CODE(MID($L31,9,1))-55,"#")))</f>
        <v/>
      </c>
      <c r="W31" s="18" t="str">
        <f aca="false">IF(LEN($L31)&lt;10,"",IF(ISNUMBER(FIND(MID($L31,10,1),"0123456789")),MID($L31,10,1),IF(ISNUMBER(FIND(MID($L31,10,1),"ABCDEFGHIJKLMNOPQRSTUVWXYZ")),CODE(MID($L31,10,1))-55,"#")))</f>
        <v/>
      </c>
      <c r="X31" s="18" t="str">
        <f aca="false">IF(LEN($L31)&lt;11,"",IF(ISNUMBER(FIND(MID($L31,11,1),"0123456789")),MID($L31,11,1),IF(ISNUMBER(FIND(MID($L31,11,1),"ABCDEFGHIJKLMNOPQRSTUVWXYZ")),CODE(MID($L31,11,1))-55,"#")))</f>
        <v/>
      </c>
      <c r="Y31" s="18" t="str">
        <f aca="false">IF(LEN($L31)&lt;12,"",IF(ISNUMBER(FIND(MID($L31,12,1),"0123456789")),MID($L31,12,1),IF(ISNUMBER(FIND(MID($L31,12,1),"ABCDEFGHIJKLMNOPQRSTUVWXYZ")),CODE(MID($L31,12,1))-55,"#")))</f>
        <v/>
      </c>
      <c r="Z31" s="18" t="str">
        <f aca="false">IF(LEN($L31)&lt;13,"",IF(ISNUMBER(FIND(MID($L31,13,1),"0123456789")),MID($L31,13,1),IF(ISNUMBER(FIND(MID($L31,13,1),"ABCDEFGHIJKLMNOPQRSTUVWXYZ")),CODE(MID($L31,13,1))-55,"#")))</f>
        <v/>
      </c>
      <c r="AA31" s="18" t="str">
        <f aca="false">IF(LEN($L31)&lt;14,"",IF(ISNUMBER(FIND(MID($L31,14,1),"0123456789")),MID($L31,14,1),IF(ISNUMBER(FIND(MID($L31,14,1),"ABCDEFGHIJKLMNOPQRSTUVWXYZ")),CODE(MID($L31,14,1))-55,"#")))</f>
        <v/>
      </c>
      <c r="AB31" s="18" t="str">
        <f aca="false">IF(LEN($L31)&lt;15,"",IF(ISNUMBER(FIND(MID($L31,15,1),"0123456789")),MID($L31,15,1),IF(ISNUMBER(FIND(MID($L31,15,1),"ABCDEFGHIJKLMNOPQRSTUVWXYZ")),CODE(MID($L31,15,1))-55,"#")))</f>
        <v/>
      </c>
      <c r="AC31" s="18" t="str">
        <f aca="false">IF(LEN($L31)&lt;16,"",IF(ISNUMBER(FIND(MID($L31,16,1),"0123456789")),MID($L31,16,1),IF(ISNUMBER(FIND(MID($L31,16,1),"ABCDEFGHIJKLMNOPQRSTUVWXYZ")),CODE(MID($L31,16,1))-55,"#")))</f>
        <v/>
      </c>
      <c r="AD31" s="18" t="str">
        <f aca="false">IF(LEN($L31)&lt;17,"",IF(ISNUMBER(FIND(MID($L31,17,1),"0123456789")),MID($L31,17,1),IF(ISNUMBER(FIND(MID($L31,17,1),"ABCDEFGHIJKLMNOPQRSTUVWXYZ")),CODE(MID($L31,17,1))-55,"#")))</f>
        <v/>
      </c>
      <c r="AE31" s="18" t="str">
        <f aca="false">IF(LEN($L31)&lt;18,"",IF(ISNUMBER(FIND(MID($L31,18,1),"0123456789")),MID($L31,18,1),IF(ISNUMBER(FIND(MID($L31,18,1),"ABCDEFGHIJKLMNOPQRSTUVWXYZ")),CODE(MID($L31,18,1))-55,"#")))</f>
        <v/>
      </c>
      <c r="AF31" s="18" t="str">
        <f aca="false">IF(LEN($L31)&lt;19,"",IF(ISNUMBER(FIND(MID($L31,19,1),"0123456789")),MID($L31,19,1),IF(ISNUMBER(FIND(MID($L31,19,1),"ABCDEFGHIJKLMNOPQRSTUVWXYZ")),CODE(MID($L31,19,1))-55,"#")))</f>
        <v/>
      </c>
      <c r="AG31" s="18" t="str">
        <f aca="false">IF(LEN($L31)&lt;20,"",IF(ISNUMBER(FIND(MID($L31,20,1),"0123456789")),MID($L31,20,1),IF(ISNUMBER(FIND(MID($L31,20,1),"ABCDEFGHIJKLMNOPQRSTUVWXYZ")),CODE(MID($L31,20,1))-55,"#")))</f>
        <v/>
      </c>
      <c r="AH31" s="18" t="str">
        <f aca="false">IF(LEN($L31)&lt;21,"",IF(ISNUMBER(FIND(MID($L31,21,1),"0123456789")),MID($L31,21,1),IF(ISNUMBER(FIND(MID($L31,21,1),"ABCDEFGHIJKLMNOPQRSTUVWXYZ")),CODE(MID($L31,21,1))-55,"#")))</f>
        <v/>
      </c>
      <c r="AI31" s="18" t="str">
        <f aca="false">IF(LEN($L31)&lt;22,"",IF(ISNUMBER(FIND(MID($L31,22,1),"0123456789")),MID($L31,22,1),IF(ISNUMBER(FIND(MID($L31,22,1),"ABCDEFGHIJKLMNOPQRSTUVWXYZ")),CODE(MID($L31,22,1))-55,"#")))</f>
        <v/>
      </c>
      <c r="AJ31" s="18" t="str">
        <f aca="false">IF(LEN($L31)&lt;23,"",IF(ISNUMBER(FIND(MID($L31,23,1),"0123456789")),MID($L31,23,1),IF(ISNUMBER(FIND(MID($L31,23,1),"ABCDEFGHIJKLMNOPQRSTUVWXYZ")),CODE(MID($L31,23,1))-55,"#")))</f>
        <v/>
      </c>
      <c r="AK31" s="18" t="str">
        <f aca="false">IF(LEN($L31)&lt;24,"",IF(ISNUMBER(FIND(MID($L31,24,1),"0123456789")),MID($L31,24,1),IF(ISNUMBER(FIND(MID($L31,24,1),"ABCDEFGHIJKLMNOPQRSTUVWXYZ")),CODE(MID($L31,24,1))-55,"#")))</f>
        <v/>
      </c>
      <c r="AL31" s="18" t="str">
        <f aca="false">IF(LEN($L31)&lt;25,"",IF(ISNUMBER(FIND(MID($L31,25,1),"0123456789")),MID($L31,25,1),IF(ISNUMBER(FIND(MID($L31,25,1),"ABCDEFGHIJKLMNOPQRSTUVWXYZ")),CODE(MID($L31,25,1))-55,"#")))</f>
        <v/>
      </c>
      <c r="AM31" s="18" t="str">
        <f aca="false">IF(LEN($L31)&lt;26,"",IF(ISNUMBER(FIND(MID($L31,26,1),"0123456789")),MID($L31,26,1),IF(ISNUMBER(FIND(MID($L31,26,1),"ABCDEFGHIJKLMNOPQRSTUVWXYZ")),CODE(MID($L31,26,1))-55,"#")))</f>
        <v/>
      </c>
      <c r="AN31" s="18" t="str">
        <f aca="false">IF(LEN($L31)&lt;27,"",IF(ISNUMBER(FIND(MID($L31,27,1),"0123456789")),MID($L31,27,1),IF(ISNUMBER(FIND(MID($L31,27,1),"ABCDEFGHIJKLMNOPQRSTUVWXYZ")),CODE(MID($L31,27,1))-55,"#")))</f>
        <v/>
      </c>
      <c r="AO31" s="18" t="str">
        <f aca="false">IF(LEN($L31)&lt;28,"",IF(ISNUMBER(FIND(MID($L31,28,1),"0123456789")),MID($L31,28,1),IF(ISNUMBER(FIND(MID($L31,28,1),"ABCDEFGHIJKLMNOPQRSTUVWXYZ")),CODE(MID($L31,28,1))-55,"#")))</f>
        <v/>
      </c>
      <c r="AP31" s="18" t="str">
        <f aca="false">IF(LEN($L31)&lt;29,"",IF(ISNUMBER(FIND(MID($L31,29,1),"0123456789")),MID($L31,29,1),IF(ISNUMBER(FIND(MID($L31,29,1),"ABCDEFGHIJKLMNOPQRSTUVWXYZ")),CODE(MID($L31,29,1))-55,"#")))</f>
        <v/>
      </c>
      <c r="AQ31" s="18" t="str">
        <f aca="false">IF(LEN($L31)&lt;30,"",IF(ISNUMBER(FIND(MID($L31,30,1),"0123456789")),MID($L31,30,1),IF(ISNUMBER(FIND(MID($L31,30,1),"ABCDEFGHIJKLMNOPQRSTUVWXYZ")),CODE(MID($L31,30,1))-55,"#")))</f>
        <v/>
      </c>
      <c r="AR31" s="18" t="str">
        <f aca="false">IF(LEN($L31)&lt;31,"",IF(ISNUMBER(FIND(MID($L31,31,1),"0123456789")),MID($L31,31,1),IF(ISNUMBER(FIND(MID($L31,31,1),"ABCDEFGHIJKLMNOPQRSTUVWXYZ")),CODE(MID($L31,31,1))-55,"#")))</f>
        <v/>
      </c>
      <c r="AS31" s="18" t="str">
        <f aca="false">IF(LEN($L31)&lt;32,"",IF(ISNUMBER(FIND(MID($L31,32,1),"0123456789")),MID($L31,32,1),IF(ISNUMBER(FIND(MID($L31,32,1),"ABCDEFGHIJKLMNOPQRSTUVWXYZ")),CODE(MID($L31,32,1))-55,"#")))</f>
        <v/>
      </c>
      <c r="AT31" s="18" t="str">
        <f aca="false">IF(LEN($L31)&lt;33,"",IF(ISNUMBER(FIND(MID($L31,33,1),"0123456789")),MID($L31,33,1),IF(ISNUMBER(FIND(MID($L31,33,1),"ABCDEFGHIJKLMNOPQRSTUVWXYZ")),CODE(MID($L31,33,1))-55,"#")))</f>
        <v/>
      </c>
      <c r="AU31" s="18" t="str">
        <f aca="false">IF(LEN($L31)&lt;34,"",IF(ISNUMBER(FIND(MID($L31,34,1),"0123456789")),MID($L31,34,1),IF(ISNUMBER(FIND(MID($L31,34,1),"ABCDEFGHIJKLMNOPQRSTUVWXYZ")),CODE(MID($L31,34,1))-55,"#")))</f>
        <v/>
      </c>
      <c r="AV31" s="18" t="str">
        <f aca="false">_xlfn.CONCAT(N31:AU31)</f>
        <v/>
      </c>
      <c r="AW31" s="18" t="str">
        <f aca="false">IF(OR(AV31="",M31=FALSE()),"",MOD(VALUE(MID(AV31,1,9)),97))</f>
        <v/>
      </c>
      <c r="AX31" s="18" t="str">
        <f aca="false">IF(AW31="","",MOD(VALUE(AW31&amp;MID(AV31,10,7)),97))</f>
        <v/>
      </c>
      <c r="AY31" s="18" t="str">
        <f aca="false">IF(AX31="","",MOD(VALUE(AX31&amp;MID(AV31,17,7)),97))</f>
        <v/>
      </c>
      <c r="AZ31" s="18" t="str">
        <f aca="false">IF(AY31="","",MOD(VALUE(AY31&amp;MID(AV31,24,7)),97))</f>
        <v/>
      </c>
      <c r="BA31" s="18" t="str">
        <f aca="false">IF(AZ31="","",MOD(VALUE(AZ31&amp;MID(AV31,31,7)),97))</f>
        <v/>
      </c>
      <c r="BB31" s="18" t="str">
        <f aca="false">IF(BA31="","",MOD(VALUE(BA31&amp;MID(AV31,38,7)),97))</f>
        <v/>
      </c>
      <c r="BC31" s="18" t="str">
        <f aca="false">IF(BB31="","",MOD(VALUE(BB31&amp;MID(AV31,45,7)),97))</f>
        <v/>
      </c>
      <c r="BD31" s="18" t="str">
        <f aca="false">IF(BC31="","",MOD(VALUE(BC31&amp;MID(AV31,52,7)),97))</f>
        <v/>
      </c>
      <c r="BE31" s="18" t="str">
        <f aca="false">IF(BD31="","",MOD(VALUE(BD31&amp;MID(AV31,59,7)),97))</f>
        <v/>
      </c>
      <c r="BF31" s="18" t="str">
        <f aca="false">IF(BE31="","",MOD(VALUE(BE31&amp;MID(AV31,66,7)),97))</f>
        <v/>
      </c>
    </row>
    <row r="32" customFormat="false" ht="15" hidden="false" customHeight="false" outlineLevel="0" collapsed="false">
      <c r="A32" s="11"/>
      <c r="B32" s="5" t="str">
        <f aca="false">UPPER(SUBSTITUTE(SUBSTITUTE(SUBSTITUTE(TRIM(A32)," ",""),"-",""),CHAR(160),""))</f>
        <v/>
      </c>
      <c r="C32" s="5" t="str">
        <f aca="false">IF(B32="","",LEN(B32))</f>
        <v/>
      </c>
      <c r="D32" s="5" t="str">
        <f aca="false">IF(B32="","",LEFT(B32,2))</f>
        <v/>
      </c>
      <c r="E32" s="5" t="str">
        <f aca="false">IF(B32="","",MID(B32,3,2))</f>
        <v/>
      </c>
      <c r="F32" s="5" t="str">
        <f aca="false">IF(B32="","",MID(B32,5,2))</f>
        <v/>
      </c>
      <c r="G32" s="5" t="str">
        <f aca="false">IF(B32="","",IFERROR(INDEX('رموز البنوك'!$C$5:$C$30,MATCH(F32,'رموز البنوك'!$B$5:$B$30,0)),"رمز غير معروف"))</f>
        <v/>
      </c>
      <c r="H32" s="5" t="str">
        <f aca="false">BF32</f>
        <v/>
      </c>
      <c r="I32" s="5" t="str">
        <f aca="false">IF(OR(H32="",NOT(AND(ISNUMBER(FIND(MID(B32,3,1),"0123456789")),ISNUMBER(FIND(MID(B32,4,1),"0123456789"))))),"",TEXT(98-MOD(H32-VALUE(E32),97),"00"))</f>
        <v/>
      </c>
      <c r="J32" s="4" t="str">
        <f aca="false">IF(B32="","",IF(LEFT(K32,10)="آيبان صحيح","صحيح ✓","غير صحيح ✗"))</f>
        <v/>
      </c>
      <c r="K32" s="10" t="str">
        <f aca="false">IF(B32="","",IF(M32=FALSE(),"يحتوي رموزاً غير مسموحة (المسموح A–Z و 0–9 فقط)",IF(D32&lt;&gt;"SA","رمز الدولة "&amp;D32&amp;" — هذا المدقق للآيبان السعودي SA",IF(C32&lt;&gt;24,"الطول "&amp;C32&amp;" خانة والمطلوب 24",IF(NOT(AND(ISNUMBER(FIND(MID(B32,3,1),"0123456789")),ISNUMBER(FIND(MID(B32,4,1),"0123456789")))),"خانتا التدقيق يجب أن تكونا رقمين",IF(ISERROR(VALUE(MID(B32,5,20))),"رمز البنك ورقم الحساب يجب أن يكونا أرقاماً",IF(H32&lt;&gt;1,"فشل اختبار MOD-97 (الباقي "&amp;H32&amp;" وليس 1) — خطأ في كتابة الرقم؛ خانتا التدقيق الصحيحتان لهذا الحساب "&amp;I32,IF(G32="رمز غير معروف","اجتاز MOD-97 لكن رمز البنك "&amp;F32&amp;" غير مسجل في جدول البنوك","آيبان صحيح — "&amp;G32))))))))</f>
        <v/>
      </c>
      <c r="L32" s="18" t="str">
        <f aca="false">IF(B32="","",MID(B32,5,40)&amp;LEFT(B32,4))</f>
        <v/>
      </c>
      <c r="M32" s="18" t="str">
        <f aca="false">IF(L32="","",NOT(ISNUMBER(FIND("#",AV32))))</f>
        <v/>
      </c>
      <c r="N32" s="18" t="str">
        <f aca="false">IF(LEN($L32)&lt;1,"",IF(ISNUMBER(FIND(MID($L32,1,1),"0123456789")),MID($L32,1,1),IF(ISNUMBER(FIND(MID($L32,1,1),"ABCDEFGHIJKLMNOPQRSTUVWXYZ")),CODE(MID($L32,1,1))-55,"#")))</f>
        <v/>
      </c>
      <c r="O32" s="18" t="str">
        <f aca="false">IF(LEN($L32)&lt;2,"",IF(ISNUMBER(FIND(MID($L32,2,1),"0123456789")),MID($L32,2,1),IF(ISNUMBER(FIND(MID($L32,2,1),"ABCDEFGHIJKLMNOPQRSTUVWXYZ")),CODE(MID($L32,2,1))-55,"#")))</f>
        <v/>
      </c>
      <c r="P32" s="18" t="str">
        <f aca="false">IF(LEN($L32)&lt;3,"",IF(ISNUMBER(FIND(MID($L32,3,1),"0123456789")),MID($L32,3,1),IF(ISNUMBER(FIND(MID($L32,3,1),"ABCDEFGHIJKLMNOPQRSTUVWXYZ")),CODE(MID($L32,3,1))-55,"#")))</f>
        <v/>
      </c>
      <c r="Q32" s="18" t="str">
        <f aca="false">IF(LEN($L32)&lt;4,"",IF(ISNUMBER(FIND(MID($L32,4,1),"0123456789")),MID($L32,4,1),IF(ISNUMBER(FIND(MID($L32,4,1),"ABCDEFGHIJKLMNOPQRSTUVWXYZ")),CODE(MID($L32,4,1))-55,"#")))</f>
        <v/>
      </c>
      <c r="R32" s="18" t="str">
        <f aca="false">IF(LEN($L32)&lt;5,"",IF(ISNUMBER(FIND(MID($L32,5,1),"0123456789")),MID($L32,5,1),IF(ISNUMBER(FIND(MID($L32,5,1),"ABCDEFGHIJKLMNOPQRSTUVWXYZ")),CODE(MID($L32,5,1))-55,"#")))</f>
        <v/>
      </c>
      <c r="S32" s="18" t="str">
        <f aca="false">IF(LEN($L32)&lt;6,"",IF(ISNUMBER(FIND(MID($L32,6,1),"0123456789")),MID($L32,6,1),IF(ISNUMBER(FIND(MID($L32,6,1),"ABCDEFGHIJKLMNOPQRSTUVWXYZ")),CODE(MID($L32,6,1))-55,"#")))</f>
        <v/>
      </c>
      <c r="T32" s="18" t="str">
        <f aca="false">IF(LEN($L32)&lt;7,"",IF(ISNUMBER(FIND(MID($L32,7,1),"0123456789")),MID($L32,7,1),IF(ISNUMBER(FIND(MID($L32,7,1),"ABCDEFGHIJKLMNOPQRSTUVWXYZ")),CODE(MID($L32,7,1))-55,"#")))</f>
        <v/>
      </c>
      <c r="U32" s="18" t="str">
        <f aca="false">IF(LEN($L32)&lt;8,"",IF(ISNUMBER(FIND(MID($L32,8,1),"0123456789")),MID($L32,8,1),IF(ISNUMBER(FIND(MID($L32,8,1),"ABCDEFGHIJKLMNOPQRSTUVWXYZ")),CODE(MID($L32,8,1))-55,"#")))</f>
        <v/>
      </c>
      <c r="V32" s="18" t="str">
        <f aca="false">IF(LEN($L32)&lt;9,"",IF(ISNUMBER(FIND(MID($L32,9,1),"0123456789")),MID($L32,9,1),IF(ISNUMBER(FIND(MID($L32,9,1),"ABCDEFGHIJKLMNOPQRSTUVWXYZ")),CODE(MID($L32,9,1))-55,"#")))</f>
        <v/>
      </c>
      <c r="W32" s="18" t="str">
        <f aca="false">IF(LEN($L32)&lt;10,"",IF(ISNUMBER(FIND(MID($L32,10,1),"0123456789")),MID($L32,10,1),IF(ISNUMBER(FIND(MID($L32,10,1),"ABCDEFGHIJKLMNOPQRSTUVWXYZ")),CODE(MID($L32,10,1))-55,"#")))</f>
        <v/>
      </c>
      <c r="X32" s="18" t="str">
        <f aca="false">IF(LEN($L32)&lt;11,"",IF(ISNUMBER(FIND(MID($L32,11,1),"0123456789")),MID($L32,11,1),IF(ISNUMBER(FIND(MID($L32,11,1),"ABCDEFGHIJKLMNOPQRSTUVWXYZ")),CODE(MID($L32,11,1))-55,"#")))</f>
        <v/>
      </c>
      <c r="Y32" s="18" t="str">
        <f aca="false">IF(LEN($L32)&lt;12,"",IF(ISNUMBER(FIND(MID($L32,12,1),"0123456789")),MID($L32,12,1),IF(ISNUMBER(FIND(MID($L32,12,1),"ABCDEFGHIJKLMNOPQRSTUVWXYZ")),CODE(MID($L32,12,1))-55,"#")))</f>
        <v/>
      </c>
      <c r="Z32" s="18" t="str">
        <f aca="false">IF(LEN($L32)&lt;13,"",IF(ISNUMBER(FIND(MID($L32,13,1),"0123456789")),MID($L32,13,1),IF(ISNUMBER(FIND(MID($L32,13,1),"ABCDEFGHIJKLMNOPQRSTUVWXYZ")),CODE(MID($L32,13,1))-55,"#")))</f>
        <v/>
      </c>
      <c r="AA32" s="18" t="str">
        <f aca="false">IF(LEN($L32)&lt;14,"",IF(ISNUMBER(FIND(MID($L32,14,1),"0123456789")),MID($L32,14,1),IF(ISNUMBER(FIND(MID($L32,14,1),"ABCDEFGHIJKLMNOPQRSTUVWXYZ")),CODE(MID($L32,14,1))-55,"#")))</f>
        <v/>
      </c>
      <c r="AB32" s="18" t="str">
        <f aca="false">IF(LEN($L32)&lt;15,"",IF(ISNUMBER(FIND(MID($L32,15,1),"0123456789")),MID($L32,15,1),IF(ISNUMBER(FIND(MID($L32,15,1),"ABCDEFGHIJKLMNOPQRSTUVWXYZ")),CODE(MID($L32,15,1))-55,"#")))</f>
        <v/>
      </c>
      <c r="AC32" s="18" t="str">
        <f aca="false">IF(LEN($L32)&lt;16,"",IF(ISNUMBER(FIND(MID($L32,16,1),"0123456789")),MID($L32,16,1),IF(ISNUMBER(FIND(MID($L32,16,1),"ABCDEFGHIJKLMNOPQRSTUVWXYZ")),CODE(MID($L32,16,1))-55,"#")))</f>
        <v/>
      </c>
      <c r="AD32" s="18" t="str">
        <f aca="false">IF(LEN($L32)&lt;17,"",IF(ISNUMBER(FIND(MID($L32,17,1),"0123456789")),MID($L32,17,1),IF(ISNUMBER(FIND(MID($L32,17,1),"ABCDEFGHIJKLMNOPQRSTUVWXYZ")),CODE(MID($L32,17,1))-55,"#")))</f>
        <v/>
      </c>
      <c r="AE32" s="18" t="str">
        <f aca="false">IF(LEN($L32)&lt;18,"",IF(ISNUMBER(FIND(MID($L32,18,1),"0123456789")),MID($L32,18,1),IF(ISNUMBER(FIND(MID($L32,18,1),"ABCDEFGHIJKLMNOPQRSTUVWXYZ")),CODE(MID($L32,18,1))-55,"#")))</f>
        <v/>
      </c>
      <c r="AF32" s="18" t="str">
        <f aca="false">IF(LEN($L32)&lt;19,"",IF(ISNUMBER(FIND(MID($L32,19,1),"0123456789")),MID($L32,19,1),IF(ISNUMBER(FIND(MID($L32,19,1),"ABCDEFGHIJKLMNOPQRSTUVWXYZ")),CODE(MID($L32,19,1))-55,"#")))</f>
        <v/>
      </c>
      <c r="AG32" s="18" t="str">
        <f aca="false">IF(LEN($L32)&lt;20,"",IF(ISNUMBER(FIND(MID($L32,20,1),"0123456789")),MID($L32,20,1),IF(ISNUMBER(FIND(MID($L32,20,1),"ABCDEFGHIJKLMNOPQRSTUVWXYZ")),CODE(MID($L32,20,1))-55,"#")))</f>
        <v/>
      </c>
      <c r="AH32" s="18" t="str">
        <f aca="false">IF(LEN($L32)&lt;21,"",IF(ISNUMBER(FIND(MID($L32,21,1),"0123456789")),MID($L32,21,1),IF(ISNUMBER(FIND(MID($L32,21,1),"ABCDEFGHIJKLMNOPQRSTUVWXYZ")),CODE(MID($L32,21,1))-55,"#")))</f>
        <v/>
      </c>
      <c r="AI32" s="18" t="str">
        <f aca="false">IF(LEN($L32)&lt;22,"",IF(ISNUMBER(FIND(MID($L32,22,1),"0123456789")),MID($L32,22,1),IF(ISNUMBER(FIND(MID($L32,22,1),"ABCDEFGHIJKLMNOPQRSTUVWXYZ")),CODE(MID($L32,22,1))-55,"#")))</f>
        <v/>
      </c>
      <c r="AJ32" s="18" t="str">
        <f aca="false">IF(LEN($L32)&lt;23,"",IF(ISNUMBER(FIND(MID($L32,23,1),"0123456789")),MID($L32,23,1),IF(ISNUMBER(FIND(MID($L32,23,1),"ABCDEFGHIJKLMNOPQRSTUVWXYZ")),CODE(MID($L32,23,1))-55,"#")))</f>
        <v/>
      </c>
      <c r="AK32" s="18" t="str">
        <f aca="false">IF(LEN($L32)&lt;24,"",IF(ISNUMBER(FIND(MID($L32,24,1),"0123456789")),MID($L32,24,1),IF(ISNUMBER(FIND(MID($L32,24,1),"ABCDEFGHIJKLMNOPQRSTUVWXYZ")),CODE(MID($L32,24,1))-55,"#")))</f>
        <v/>
      </c>
      <c r="AL32" s="18" t="str">
        <f aca="false">IF(LEN($L32)&lt;25,"",IF(ISNUMBER(FIND(MID($L32,25,1),"0123456789")),MID($L32,25,1),IF(ISNUMBER(FIND(MID($L32,25,1),"ABCDEFGHIJKLMNOPQRSTUVWXYZ")),CODE(MID($L32,25,1))-55,"#")))</f>
        <v/>
      </c>
      <c r="AM32" s="18" t="str">
        <f aca="false">IF(LEN($L32)&lt;26,"",IF(ISNUMBER(FIND(MID($L32,26,1),"0123456789")),MID($L32,26,1),IF(ISNUMBER(FIND(MID($L32,26,1),"ABCDEFGHIJKLMNOPQRSTUVWXYZ")),CODE(MID($L32,26,1))-55,"#")))</f>
        <v/>
      </c>
      <c r="AN32" s="18" t="str">
        <f aca="false">IF(LEN($L32)&lt;27,"",IF(ISNUMBER(FIND(MID($L32,27,1),"0123456789")),MID($L32,27,1),IF(ISNUMBER(FIND(MID($L32,27,1),"ABCDEFGHIJKLMNOPQRSTUVWXYZ")),CODE(MID($L32,27,1))-55,"#")))</f>
        <v/>
      </c>
      <c r="AO32" s="18" t="str">
        <f aca="false">IF(LEN($L32)&lt;28,"",IF(ISNUMBER(FIND(MID($L32,28,1),"0123456789")),MID($L32,28,1),IF(ISNUMBER(FIND(MID($L32,28,1),"ABCDEFGHIJKLMNOPQRSTUVWXYZ")),CODE(MID($L32,28,1))-55,"#")))</f>
        <v/>
      </c>
      <c r="AP32" s="18" t="str">
        <f aca="false">IF(LEN($L32)&lt;29,"",IF(ISNUMBER(FIND(MID($L32,29,1),"0123456789")),MID($L32,29,1),IF(ISNUMBER(FIND(MID($L32,29,1),"ABCDEFGHIJKLMNOPQRSTUVWXYZ")),CODE(MID($L32,29,1))-55,"#")))</f>
        <v/>
      </c>
      <c r="AQ32" s="18" t="str">
        <f aca="false">IF(LEN($L32)&lt;30,"",IF(ISNUMBER(FIND(MID($L32,30,1),"0123456789")),MID($L32,30,1),IF(ISNUMBER(FIND(MID($L32,30,1),"ABCDEFGHIJKLMNOPQRSTUVWXYZ")),CODE(MID($L32,30,1))-55,"#")))</f>
        <v/>
      </c>
      <c r="AR32" s="18" t="str">
        <f aca="false">IF(LEN($L32)&lt;31,"",IF(ISNUMBER(FIND(MID($L32,31,1),"0123456789")),MID($L32,31,1),IF(ISNUMBER(FIND(MID($L32,31,1),"ABCDEFGHIJKLMNOPQRSTUVWXYZ")),CODE(MID($L32,31,1))-55,"#")))</f>
        <v/>
      </c>
      <c r="AS32" s="18" t="str">
        <f aca="false">IF(LEN($L32)&lt;32,"",IF(ISNUMBER(FIND(MID($L32,32,1),"0123456789")),MID($L32,32,1),IF(ISNUMBER(FIND(MID($L32,32,1),"ABCDEFGHIJKLMNOPQRSTUVWXYZ")),CODE(MID($L32,32,1))-55,"#")))</f>
        <v/>
      </c>
      <c r="AT32" s="18" t="str">
        <f aca="false">IF(LEN($L32)&lt;33,"",IF(ISNUMBER(FIND(MID($L32,33,1),"0123456789")),MID($L32,33,1),IF(ISNUMBER(FIND(MID($L32,33,1),"ABCDEFGHIJKLMNOPQRSTUVWXYZ")),CODE(MID($L32,33,1))-55,"#")))</f>
        <v/>
      </c>
      <c r="AU32" s="18" t="str">
        <f aca="false">IF(LEN($L32)&lt;34,"",IF(ISNUMBER(FIND(MID($L32,34,1),"0123456789")),MID($L32,34,1),IF(ISNUMBER(FIND(MID($L32,34,1),"ABCDEFGHIJKLMNOPQRSTUVWXYZ")),CODE(MID($L32,34,1))-55,"#")))</f>
        <v/>
      </c>
      <c r="AV32" s="18" t="str">
        <f aca="false">_xlfn.CONCAT(N32:AU32)</f>
        <v/>
      </c>
      <c r="AW32" s="18" t="str">
        <f aca="false">IF(OR(AV32="",M32=FALSE()),"",MOD(VALUE(MID(AV32,1,9)),97))</f>
        <v/>
      </c>
      <c r="AX32" s="18" t="str">
        <f aca="false">IF(AW32="","",MOD(VALUE(AW32&amp;MID(AV32,10,7)),97))</f>
        <v/>
      </c>
      <c r="AY32" s="18" t="str">
        <f aca="false">IF(AX32="","",MOD(VALUE(AX32&amp;MID(AV32,17,7)),97))</f>
        <v/>
      </c>
      <c r="AZ32" s="18" t="str">
        <f aca="false">IF(AY32="","",MOD(VALUE(AY32&amp;MID(AV32,24,7)),97))</f>
        <v/>
      </c>
      <c r="BA32" s="18" t="str">
        <f aca="false">IF(AZ32="","",MOD(VALUE(AZ32&amp;MID(AV32,31,7)),97))</f>
        <v/>
      </c>
      <c r="BB32" s="18" t="str">
        <f aca="false">IF(BA32="","",MOD(VALUE(BA32&amp;MID(AV32,38,7)),97))</f>
        <v/>
      </c>
      <c r="BC32" s="18" t="str">
        <f aca="false">IF(BB32="","",MOD(VALUE(BB32&amp;MID(AV32,45,7)),97))</f>
        <v/>
      </c>
      <c r="BD32" s="18" t="str">
        <f aca="false">IF(BC32="","",MOD(VALUE(BC32&amp;MID(AV32,52,7)),97))</f>
        <v/>
      </c>
      <c r="BE32" s="18" t="str">
        <f aca="false">IF(BD32="","",MOD(VALUE(BD32&amp;MID(AV32,59,7)),97))</f>
        <v/>
      </c>
      <c r="BF32" s="18" t="str">
        <f aca="false">IF(BE32="","",MOD(VALUE(BE32&amp;MID(AV32,66,7)),97))</f>
        <v/>
      </c>
    </row>
    <row r="33" customFormat="false" ht="15" hidden="false" customHeight="false" outlineLevel="0" collapsed="false">
      <c r="A33" s="11"/>
      <c r="B33" s="5" t="str">
        <f aca="false">UPPER(SUBSTITUTE(SUBSTITUTE(SUBSTITUTE(TRIM(A33)," ",""),"-",""),CHAR(160),""))</f>
        <v/>
      </c>
      <c r="C33" s="5" t="str">
        <f aca="false">IF(B33="","",LEN(B33))</f>
        <v/>
      </c>
      <c r="D33" s="5" t="str">
        <f aca="false">IF(B33="","",LEFT(B33,2))</f>
        <v/>
      </c>
      <c r="E33" s="5" t="str">
        <f aca="false">IF(B33="","",MID(B33,3,2))</f>
        <v/>
      </c>
      <c r="F33" s="5" t="str">
        <f aca="false">IF(B33="","",MID(B33,5,2))</f>
        <v/>
      </c>
      <c r="G33" s="5" t="str">
        <f aca="false">IF(B33="","",IFERROR(INDEX('رموز البنوك'!$C$5:$C$30,MATCH(F33,'رموز البنوك'!$B$5:$B$30,0)),"رمز غير معروف"))</f>
        <v/>
      </c>
      <c r="H33" s="5" t="str">
        <f aca="false">BF33</f>
        <v/>
      </c>
      <c r="I33" s="5" t="str">
        <f aca="false">IF(OR(H33="",NOT(AND(ISNUMBER(FIND(MID(B33,3,1),"0123456789")),ISNUMBER(FIND(MID(B33,4,1),"0123456789"))))),"",TEXT(98-MOD(H33-VALUE(E33),97),"00"))</f>
        <v/>
      </c>
      <c r="J33" s="4" t="str">
        <f aca="false">IF(B33="","",IF(LEFT(K33,10)="آيبان صحيح","صحيح ✓","غير صحيح ✗"))</f>
        <v/>
      </c>
      <c r="K33" s="10" t="str">
        <f aca="false">IF(B33="","",IF(M33=FALSE(),"يحتوي رموزاً غير مسموحة (المسموح A–Z و 0–9 فقط)",IF(D33&lt;&gt;"SA","رمز الدولة "&amp;D33&amp;" — هذا المدقق للآيبان السعودي SA",IF(C33&lt;&gt;24,"الطول "&amp;C33&amp;" خانة والمطلوب 24",IF(NOT(AND(ISNUMBER(FIND(MID(B33,3,1),"0123456789")),ISNUMBER(FIND(MID(B33,4,1),"0123456789")))),"خانتا التدقيق يجب أن تكونا رقمين",IF(ISERROR(VALUE(MID(B33,5,20))),"رمز البنك ورقم الحساب يجب أن يكونا أرقاماً",IF(H33&lt;&gt;1,"فشل اختبار MOD-97 (الباقي "&amp;H33&amp;" وليس 1) — خطأ في كتابة الرقم؛ خانتا التدقيق الصحيحتان لهذا الحساب "&amp;I33,IF(G33="رمز غير معروف","اجتاز MOD-97 لكن رمز البنك "&amp;F33&amp;" غير مسجل في جدول البنوك","آيبان صحيح — "&amp;G33))))))))</f>
        <v/>
      </c>
      <c r="L33" s="18" t="str">
        <f aca="false">IF(B33="","",MID(B33,5,40)&amp;LEFT(B33,4))</f>
        <v/>
      </c>
      <c r="M33" s="18" t="str">
        <f aca="false">IF(L33="","",NOT(ISNUMBER(FIND("#",AV33))))</f>
        <v/>
      </c>
      <c r="N33" s="18" t="str">
        <f aca="false">IF(LEN($L33)&lt;1,"",IF(ISNUMBER(FIND(MID($L33,1,1),"0123456789")),MID($L33,1,1),IF(ISNUMBER(FIND(MID($L33,1,1),"ABCDEFGHIJKLMNOPQRSTUVWXYZ")),CODE(MID($L33,1,1))-55,"#")))</f>
        <v/>
      </c>
      <c r="O33" s="18" t="str">
        <f aca="false">IF(LEN($L33)&lt;2,"",IF(ISNUMBER(FIND(MID($L33,2,1),"0123456789")),MID($L33,2,1),IF(ISNUMBER(FIND(MID($L33,2,1),"ABCDEFGHIJKLMNOPQRSTUVWXYZ")),CODE(MID($L33,2,1))-55,"#")))</f>
        <v/>
      </c>
      <c r="P33" s="18" t="str">
        <f aca="false">IF(LEN($L33)&lt;3,"",IF(ISNUMBER(FIND(MID($L33,3,1),"0123456789")),MID($L33,3,1),IF(ISNUMBER(FIND(MID($L33,3,1),"ABCDEFGHIJKLMNOPQRSTUVWXYZ")),CODE(MID($L33,3,1))-55,"#")))</f>
        <v/>
      </c>
      <c r="Q33" s="18" t="str">
        <f aca="false">IF(LEN($L33)&lt;4,"",IF(ISNUMBER(FIND(MID($L33,4,1),"0123456789")),MID($L33,4,1),IF(ISNUMBER(FIND(MID($L33,4,1),"ABCDEFGHIJKLMNOPQRSTUVWXYZ")),CODE(MID($L33,4,1))-55,"#")))</f>
        <v/>
      </c>
      <c r="R33" s="18" t="str">
        <f aca="false">IF(LEN($L33)&lt;5,"",IF(ISNUMBER(FIND(MID($L33,5,1),"0123456789")),MID($L33,5,1),IF(ISNUMBER(FIND(MID($L33,5,1),"ABCDEFGHIJKLMNOPQRSTUVWXYZ")),CODE(MID($L33,5,1))-55,"#")))</f>
        <v/>
      </c>
      <c r="S33" s="18" t="str">
        <f aca="false">IF(LEN($L33)&lt;6,"",IF(ISNUMBER(FIND(MID($L33,6,1),"0123456789")),MID($L33,6,1),IF(ISNUMBER(FIND(MID($L33,6,1),"ABCDEFGHIJKLMNOPQRSTUVWXYZ")),CODE(MID($L33,6,1))-55,"#")))</f>
        <v/>
      </c>
      <c r="T33" s="18" t="str">
        <f aca="false">IF(LEN($L33)&lt;7,"",IF(ISNUMBER(FIND(MID($L33,7,1),"0123456789")),MID($L33,7,1),IF(ISNUMBER(FIND(MID($L33,7,1),"ABCDEFGHIJKLMNOPQRSTUVWXYZ")),CODE(MID($L33,7,1))-55,"#")))</f>
        <v/>
      </c>
      <c r="U33" s="18" t="str">
        <f aca="false">IF(LEN($L33)&lt;8,"",IF(ISNUMBER(FIND(MID($L33,8,1),"0123456789")),MID($L33,8,1),IF(ISNUMBER(FIND(MID($L33,8,1),"ABCDEFGHIJKLMNOPQRSTUVWXYZ")),CODE(MID($L33,8,1))-55,"#")))</f>
        <v/>
      </c>
      <c r="V33" s="18" t="str">
        <f aca="false">IF(LEN($L33)&lt;9,"",IF(ISNUMBER(FIND(MID($L33,9,1),"0123456789")),MID($L33,9,1),IF(ISNUMBER(FIND(MID($L33,9,1),"ABCDEFGHIJKLMNOPQRSTUVWXYZ")),CODE(MID($L33,9,1))-55,"#")))</f>
        <v/>
      </c>
      <c r="W33" s="18" t="str">
        <f aca="false">IF(LEN($L33)&lt;10,"",IF(ISNUMBER(FIND(MID($L33,10,1),"0123456789")),MID($L33,10,1),IF(ISNUMBER(FIND(MID($L33,10,1),"ABCDEFGHIJKLMNOPQRSTUVWXYZ")),CODE(MID($L33,10,1))-55,"#")))</f>
        <v/>
      </c>
      <c r="X33" s="18" t="str">
        <f aca="false">IF(LEN($L33)&lt;11,"",IF(ISNUMBER(FIND(MID($L33,11,1),"0123456789")),MID($L33,11,1),IF(ISNUMBER(FIND(MID($L33,11,1),"ABCDEFGHIJKLMNOPQRSTUVWXYZ")),CODE(MID($L33,11,1))-55,"#")))</f>
        <v/>
      </c>
      <c r="Y33" s="18" t="str">
        <f aca="false">IF(LEN($L33)&lt;12,"",IF(ISNUMBER(FIND(MID($L33,12,1),"0123456789")),MID($L33,12,1),IF(ISNUMBER(FIND(MID($L33,12,1),"ABCDEFGHIJKLMNOPQRSTUVWXYZ")),CODE(MID($L33,12,1))-55,"#")))</f>
        <v/>
      </c>
      <c r="Z33" s="18" t="str">
        <f aca="false">IF(LEN($L33)&lt;13,"",IF(ISNUMBER(FIND(MID($L33,13,1),"0123456789")),MID($L33,13,1),IF(ISNUMBER(FIND(MID($L33,13,1),"ABCDEFGHIJKLMNOPQRSTUVWXYZ")),CODE(MID($L33,13,1))-55,"#")))</f>
        <v/>
      </c>
      <c r="AA33" s="18" t="str">
        <f aca="false">IF(LEN($L33)&lt;14,"",IF(ISNUMBER(FIND(MID($L33,14,1),"0123456789")),MID($L33,14,1),IF(ISNUMBER(FIND(MID($L33,14,1),"ABCDEFGHIJKLMNOPQRSTUVWXYZ")),CODE(MID($L33,14,1))-55,"#")))</f>
        <v/>
      </c>
      <c r="AB33" s="18" t="str">
        <f aca="false">IF(LEN($L33)&lt;15,"",IF(ISNUMBER(FIND(MID($L33,15,1),"0123456789")),MID($L33,15,1),IF(ISNUMBER(FIND(MID($L33,15,1),"ABCDEFGHIJKLMNOPQRSTUVWXYZ")),CODE(MID($L33,15,1))-55,"#")))</f>
        <v/>
      </c>
      <c r="AC33" s="18" t="str">
        <f aca="false">IF(LEN($L33)&lt;16,"",IF(ISNUMBER(FIND(MID($L33,16,1),"0123456789")),MID($L33,16,1),IF(ISNUMBER(FIND(MID($L33,16,1),"ABCDEFGHIJKLMNOPQRSTUVWXYZ")),CODE(MID($L33,16,1))-55,"#")))</f>
        <v/>
      </c>
      <c r="AD33" s="18" t="str">
        <f aca="false">IF(LEN($L33)&lt;17,"",IF(ISNUMBER(FIND(MID($L33,17,1),"0123456789")),MID($L33,17,1),IF(ISNUMBER(FIND(MID($L33,17,1),"ABCDEFGHIJKLMNOPQRSTUVWXYZ")),CODE(MID($L33,17,1))-55,"#")))</f>
        <v/>
      </c>
      <c r="AE33" s="18" t="str">
        <f aca="false">IF(LEN($L33)&lt;18,"",IF(ISNUMBER(FIND(MID($L33,18,1),"0123456789")),MID($L33,18,1),IF(ISNUMBER(FIND(MID($L33,18,1),"ABCDEFGHIJKLMNOPQRSTUVWXYZ")),CODE(MID($L33,18,1))-55,"#")))</f>
        <v/>
      </c>
      <c r="AF33" s="18" t="str">
        <f aca="false">IF(LEN($L33)&lt;19,"",IF(ISNUMBER(FIND(MID($L33,19,1),"0123456789")),MID($L33,19,1),IF(ISNUMBER(FIND(MID($L33,19,1),"ABCDEFGHIJKLMNOPQRSTUVWXYZ")),CODE(MID($L33,19,1))-55,"#")))</f>
        <v/>
      </c>
      <c r="AG33" s="18" t="str">
        <f aca="false">IF(LEN($L33)&lt;20,"",IF(ISNUMBER(FIND(MID($L33,20,1),"0123456789")),MID($L33,20,1),IF(ISNUMBER(FIND(MID($L33,20,1),"ABCDEFGHIJKLMNOPQRSTUVWXYZ")),CODE(MID($L33,20,1))-55,"#")))</f>
        <v/>
      </c>
      <c r="AH33" s="18" t="str">
        <f aca="false">IF(LEN($L33)&lt;21,"",IF(ISNUMBER(FIND(MID($L33,21,1),"0123456789")),MID($L33,21,1),IF(ISNUMBER(FIND(MID($L33,21,1),"ABCDEFGHIJKLMNOPQRSTUVWXYZ")),CODE(MID($L33,21,1))-55,"#")))</f>
        <v/>
      </c>
      <c r="AI33" s="18" t="str">
        <f aca="false">IF(LEN($L33)&lt;22,"",IF(ISNUMBER(FIND(MID($L33,22,1),"0123456789")),MID($L33,22,1),IF(ISNUMBER(FIND(MID($L33,22,1),"ABCDEFGHIJKLMNOPQRSTUVWXYZ")),CODE(MID($L33,22,1))-55,"#")))</f>
        <v/>
      </c>
      <c r="AJ33" s="18" t="str">
        <f aca="false">IF(LEN($L33)&lt;23,"",IF(ISNUMBER(FIND(MID($L33,23,1),"0123456789")),MID($L33,23,1),IF(ISNUMBER(FIND(MID($L33,23,1),"ABCDEFGHIJKLMNOPQRSTUVWXYZ")),CODE(MID($L33,23,1))-55,"#")))</f>
        <v/>
      </c>
      <c r="AK33" s="18" t="str">
        <f aca="false">IF(LEN($L33)&lt;24,"",IF(ISNUMBER(FIND(MID($L33,24,1),"0123456789")),MID($L33,24,1),IF(ISNUMBER(FIND(MID($L33,24,1),"ABCDEFGHIJKLMNOPQRSTUVWXYZ")),CODE(MID($L33,24,1))-55,"#")))</f>
        <v/>
      </c>
      <c r="AL33" s="18" t="str">
        <f aca="false">IF(LEN($L33)&lt;25,"",IF(ISNUMBER(FIND(MID($L33,25,1),"0123456789")),MID($L33,25,1),IF(ISNUMBER(FIND(MID($L33,25,1),"ABCDEFGHIJKLMNOPQRSTUVWXYZ")),CODE(MID($L33,25,1))-55,"#")))</f>
        <v/>
      </c>
      <c r="AM33" s="18" t="str">
        <f aca="false">IF(LEN($L33)&lt;26,"",IF(ISNUMBER(FIND(MID($L33,26,1),"0123456789")),MID($L33,26,1),IF(ISNUMBER(FIND(MID($L33,26,1),"ABCDEFGHIJKLMNOPQRSTUVWXYZ")),CODE(MID($L33,26,1))-55,"#")))</f>
        <v/>
      </c>
      <c r="AN33" s="18" t="str">
        <f aca="false">IF(LEN($L33)&lt;27,"",IF(ISNUMBER(FIND(MID($L33,27,1),"0123456789")),MID($L33,27,1),IF(ISNUMBER(FIND(MID($L33,27,1),"ABCDEFGHIJKLMNOPQRSTUVWXYZ")),CODE(MID($L33,27,1))-55,"#")))</f>
        <v/>
      </c>
      <c r="AO33" s="18" t="str">
        <f aca="false">IF(LEN($L33)&lt;28,"",IF(ISNUMBER(FIND(MID($L33,28,1),"0123456789")),MID($L33,28,1),IF(ISNUMBER(FIND(MID($L33,28,1),"ABCDEFGHIJKLMNOPQRSTUVWXYZ")),CODE(MID($L33,28,1))-55,"#")))</f>
        <v/>
      </c>
      <c r="AP33" s="18" t="str">
        <f aca="false">IF(LEN($L33)&lt;29,"",IF(ISNUMBER(FIND(MID($L33,29,1),"0123456789")),MID($L33,29,1),IF(ISNUMBER(FIND(MID($L33,29,1),"ABCDEFGHIJKLMNOPQRSTUVWXYZ")),CODE(MID($L33,29,1))-55,"#")))</f>
        <v/>
      </c>
      <c r="AQ33" s="18" t="str">
        <f aca="false">IF(LEN($L33)&lt;30,"",IF(ISNUMBER(FIND(MID($L33,30,1),"0123456789")),MID($L33,30,1),IF(ISNUMBER(FIND(MID($L33,30,1),"ABCDEFGHIJKLMNOPQRSTUVWXYZ")),CODE(MID($L33,30,1))-55,"#")))</f>
        <v/>
      </c>
      <c r="AR33" s="18" t="str">
        <f aca="false">IF(LEN($L33)&lt;31,"",IF(ISNUMBER(FIND(MID($L33,31,1),"0123456789")),MID($L33,31,1),IF(ISNUMBER(FIND(MID($L33,31,1),"ABCDEFGHIJKLMNOPQRSTUVWXYZ")),CODE(MID($L33,31,1))-55,"#")))</f>
        <v/>
      </c>
      <c r="AS33" s="18" t="str">
        <f aca="false">IF(LEN($L33)&lt;32,"",IF(ISNUMBER(FIND(MID($L33,32,1),"0123456789")),MID($L33,32,1),IF(ISNUMBER(FIND(MID($L33,32,1),"ABCDEFGHIJKLMNOPQRSTUVWXYZ")),CODE(MID($L33,32,1))-55,"#")))</f>
        <v/>
      </c>
      <c r="AT33" s="18" t="str">
        <f aca="false">IF(LEN($L33)&lt;33,"",IF(ISNUMBER(FIND(MID($L33,33,1),"0123456789")),MID($L33,33,1),IF(ISNUMBER(FIND(MID($L33,33,1),"ABCDEFGHIJKLMNOPQRSTUVWXYZ")),CODE(MID($L33,33,1))-55,"#")))</f>
        <v/>
      </c>
      <c r="AU33" s="18" t="str">
        <f aca="false">IF(LEN($L33)&lt;34,"",IF(ISNUMBER(FIND(MID($L33,34,1),"0123456789")),MID($L33,34,1),IF(ISNUMBER(FIND(MID($L33,34,1),"ABCDEFGHIJKLMNOPQRSTUVWXYZ")),CODE(MID($L33,34,1))-55,"#")))</f>
        <v/>
      </c>
      <c r="AV33" s="18" t="str">
        <f aca="false">_xlfn.CONCAT(N33:AU33)</f>
        <v/>
      </c>
      <c r="AW33" s="18" t="str">
        <f aca="false">IF(OR(AV33="",M33=FALSE()),"",MOD(VALUE(MID(AV33,1,9)),97))</f>
        <v/>
      </c>
      <c r="AX33" s="18" t="str">
        <f aca="false">IF(AW33="","",MOD(VALUE(AW33&amp;MID(AV33,10,7)),97))</f>
        <v/>
      </c>
      <c r="AY33" s="18" t="str">
        <f aca="false">IF(AX33="","",MOD(VALUE(AX33&amp;MID(AV33,17,7)),97))</f>
        <v/>
      </c>
      <c r="AZ33" s="18" t="str">
        <f aca="false">IF(AY33="","",MOD(VALUE(AY33&amp;MID(AV33,24,7)),97))</f>
        <v/>
      </c>
      <c r="BA33" s="18" t="str">
        <f aca="false">IF(AZ33="","",MOD(VALUE(AZ33&amp;MID(AV33,31,7)),97))</f>
        <v/>
      </c>
      <c r="BB33" s="18" t="str">
        <f aca="false">IF(BA33="","",MOD(VALUE(BA33&amp;MID(AV33,38,7)),97))</f>
        <v/>
      </c>
      <c r="BC33" s="18" t="str">
        <f aca="false">IF(BB33="","",MOD(VALUE(BB33&amp;MID(AV33,45,7)),97))</f>
        <v/>
      </c>
      <c r="BD33" s="18" t="str">
        <f aca="false">IF(BC33="","",MOD(VALUE(BC33&amp;MID(AV33,52,7)),97))</f>
        <v/>
      </c>
      <c r="BE33" s="18" t="str">
        <f aca="false">IF(BD33="","",MOD(VALUE(BD33&amp;MID(AV33,59,7)),97))</f>
        <v/>
      </c>
      <c r="BF33" s="18" t="str">
        <f aca="false">IF(BE33="","",MOD(VALUE(BE33&amp;MID(AV33,66,7)),97))</f>
        <v/>
      </c>
    </row>
    <row r="34" customFormat="false" ht="15" hidden="false" customHeight="false" outlineLevel="0" collapsed="false">
      <c r="A34" s="11"/>
      <c r="B34" s="5" t="str">
        <f aca="false">UPPER(SUBSTITUTE(SUBSTITUTE(SUBSTITUTE(TRIM(A34)," ",""),"-",""),CHAR(160),""))</f>
        <v/>
      </c>
      <c r="C34" s="5" t="str">
        <f aca="false">IF(B34="","",LEN(B34))</f>
        <v/>
      </c>
      <c r="D34" s="5" t="str">
        <f aca="false">IF(B34="","",LEFT(B34,2))</f>
        <v/>
      </c>
      <c r="E34" s="5" t="str">
        <f aca="false">IF(B34="","",MID(B34,3,2))</f>
        <v/>
      </c>
      <c r="F34" s="5" t="str">
        <f aca="false">IF(B34="","",MID(B34,5,2))</f>
        <v/>
      </c>
      <c r="G34" s="5" t="str">
        <f aca="false">IF(B34="","",IFERROR(INDEX('رموز البنوك'!$C$5:$C$30,MATCH(F34,'رموز البنوك'!$B$5:$B$30,0)),"رمز غير معروف"))</f>
        <v/>
      </c>
      <c r="H34" s="5" t="str">
        <f aca="false">BF34</f>
        <v/>
      </c>
      <c r="I34" s="5" t="str">
        <f aca="false">IF(OR(H34="",NOT(AND(ISNUMBER(FIND(MID(B34,3,1),"0123456789")),ISNUMBER(FIND(MID(B34,4,1),"0123456789"))))),"",TEXT(98-MOD(H34-VALUE(E34),97),"00"))</f>
        <v/>
      </c>
      <c r="J34" s="4" t="str">
        <f aca="false">IF(B34="","",IF(LEFT(K34,10)="آيبان صحيح","صحيح ✓","غير صحيح ✗"))</f>
        <v/>
      </c>
      <c r="K34" s="10" t="str">
        <f aca="false">IF(B34="","",IF(M34=FALSE(),"يحتوي رموزاً غير مسموحة (المسموح A–Z و 0–9 فقط)",IF(D34&lt;&gt;"SA","رمز الدولة "&amp;D34&amp;" — هذا المدقق للآيبان السعودي SA",IF(C34&lt;&gt;24,"الطول "&amp;C34&amp;" خانة والمطلوب 24",IF(NOT(AND(ISNUMBER(FIND(MID(B34,3,1),"0123456789")),ISNUMBER(FIND(MID(B34,4,1),"0123456789")))),"خانتا التدقيق يجب أن تكونا رقمين",IF(ISERROR(VALUE(MID(B34,5,20))),"رمز البنك ورقم الحساب يجب أن يكونا أرقاماً",IF(H34&lt;&gt;1,"فشل اختبار MOD-97 (الباقي "&amp;H34&amp;" وليس 1) — خطأ في كتابة الرقم؛ خانتا التدقيق الصحيحتان لهذا الحساب "&amp;I34,IF(G34="رمز غير معروف","اجتاز MOD-97 لكن رمز البنك "&amp;F34&amp;" غير مسجل في جدول البنوك","آيبان صحيح — "&amp;G34))))))))</f>
        <v/>
      </c>
      <c r="L34" s="18" t="str">
        <f aca="false">IF(B34="","",MID(B34,5,40)&amp;LEFT(B34,4))</f>
        <v/>
      </c>
      <c r="M34" s="18" t="str">
        <f aca="false">IF(L34="","",NOT(ISNUMBER(FIND("#",AV34))))</f>
        <v/>
      </c>
      <c r="N34" s="18" t="str">
        <f aca="false">IF(LEN($L34)&lt;1,"",IF(ISNUMBER(FIND(MID($L34,1,1),"0123456789")),MID($L34,1,1),IF(ISNUMBER(FIND(MID($L34,1,1),"ABCDEFGHIJKLMNOPQRSTUVWXYZ")),CODE(MID($L34,1,1))-55,"#")))</f>
        <v/>
      </c>
      <c r="O34" s="18" t="str">
        <f aca="false">IF(LEN($L34)&lt;2,"",IF(ISNUMBER(FIND(MID($L34,2,1),"0123456789")),MID($L34,2,1),IF(ISNUMBER(FIND(MID($L34,2,1),"ABCDEFGHIJKLMNOPQRSTUVWXYZ")),CODE(MID($L34,2,1))-55,"#")))</f>
        <v/>
      </c>
      <c r="P34" s="18" t="str">
        <f aca="false">IF(LEN($L34)&lt;3,"",IF(ISNUMBER(FIND(MID($L34,3,1),"0123456789")),MID($L34,3,1),IF(ISNUMBER(FIND(MID($L34,3,1),"ABCDEFGHIJKLMNOPQRSTUVWXYZ")),CODE(MID($L34,3,1))-55,"#")))</f>
        <v/>
      </c>
      <c r="Q34" s="18" t="str">
        <f aca="false">IF(LEN($L34)&lt;4,"",IF(ISNUMBER(FIND(MID($L34,4,1),"0123456789")),MID($L34,4,1),IF(ISNUMBER(FIND(MID($L34,4,1),"ABCDEFGHIJKLMNOPQRSTUVWXYZ")),CODE(MID($L34,4,1))-55,"#")))</f>
        <v/>
      </c>
      <c r="R34" s="18" t="str">
        <f aca="false">IF(LEN($L34)&lt;5,"",IF(ISNUMBER(FIND(MID($L34,5,1),"0123456789")),MID($L34,5,1),IF(ISNUMBER(FIND(MID($L34,5,1),"ABCDEFGHIJKLMNOPQRSTUVWXYZ")),CODE(MID($L34,5,1))-55,"#")))</f>
        <v/>
      </c>
      <c r="S34" s="18" t="str">
        <f aca="false">IF(LEN($L34)&lt;6,"",IF(ISNUMBER(FIND(MID($L34,6,1),"0123456789")),MID($L34,6,1),IF(ISNUMBER(FIND(MID($L34,6,1),"ABCDEFGHIJKLMNOPQRSTUVWXYZ")),CODE(MID($L34,6,1))-55,"#")))</f>
        <v/>
      </c>
      <c r="T34" s="18" t="str">
        <f aca="false">IF(LEN($L34)&lt;7,"",IF(ISNUMBER(FIND(MID($L34,7,1),"0123456789")),MID($L34,7,1),IF(ISNUMBER(FIND(MID($L34,7,1),"ABCDEFGHIJKLMNOPQRSTUVWXYZ")),CODE(MID($L34,7,1))-55,"#")))</f>
        <v/>
      </c>
      <c r="U34" s="18" t="str">
        <f aca="false">IF(LEN($L34)&lt;8,"",IF(ISNUMBER(FIND(MID($L34,8,1),"0123456789")),MID($L34,8,1),IF(ISNUMBER(FIND(MID($L34,8,1),"ABCDEFGHIJKLMNOPQRSTUVWXYZ")),CODE(MID($L34,8,1))-55,"#")))</f>
        <v/>
      </c>
      <c r="V34" s="18" t="str">
        <f aca="false">IF(LEN($L34)&lt;9,"",IF(ISNUMBER(FIND(MID($L34,9,1),"0123456789")),MID($L34,9,1),IF(ISNUMBER(FIND(MID($L34,9,1),"ABCDEFGHIJKLMNOPQRSTUVWXYZ")),CODE(MID($L34,9,1))-55,"#")))</f>
        <v/>
      </c>
      <c r="W34" s="18" t="str">
        <f aca="false">IF(LEN($L34)&lt;10,"",IF(ISNUMBER(FIND(MID($L34,10,1),"0123456789")),MID($L34,10,1),IF(ISNUMBER(FIND(MID($L34,10,1),"ABCDEFGHIJKLMNOPQRSTUVWXYZ")),CODE(MID($L34,10,1))-55,"#")))</f>
        <v/>
      </c>
      <c r="X34" s="18" t="str">
        <f aca="false">IF(LEN($L34)&lt;11,"",IF(ISNUMBER(FIND(MID($L34,11,1),"0123456789")),MID($L34,11,1),IF(ISNUMBER(FIND(MID($L34,11,1),"ABCDEFGHIJKLMNOPQRSTUVWXYZ")),CODE(MID($L34,11,1))-55,"#")))</f>
        <v/>
      </c>
      <c r="Y34" s="18" t="str">
        <f aca="false">IF(LEN($L34)&lt;12,"",IF(ISNUMBER(FIND(MID($L34,12,1),"0123456789")),MID($L34,12,1),IF(ISNUMBER(FIND(MID($L34,12,1),"ABCDEFGHIJKLMNOPQRSTUVWXYZ")),CODE(MID($L34,12,1))-55,"#")))</f>
        <v/>
      </c>
      <c r="Z34" s="18" t="str">
        <f aca="false">IF(LEN($L34)&lt;13,"",IF(ISNUMBER(FIND(MID($L34,13,1),"0123456789")),MID($L34,13,1),IF(ISNUMBER(FIND(MID($L34,13,1),"ABCDEFGHIJKLMNOPQRSTUVWXYZ")),CODE(MID($L34,13,1))-55,"#")))</f>
        <v/>
      </c>
      <c r="AA34" s="18" t="str">
        <f aca="false">IF(LEN($L34)&lt;14,"",IF(ISNUMBER(FIND(MID($L34,14,1),"0123456789")),MID($L34,14,1),IF(ISNUMBER(FIND(MID($L34,14,1),"ABCDEFGHIJKLMNOPQRSTUVWXYZ")),CODE(MID($L34,14,1))-55,"#")))</f>
        <v/>
      </c>
      <c r="AB34" s="18" t="str">
        <f aca="false">IF(LEN($L34)&lt;15,"",IF(ISNUMBER(FIND(MID($L34,15,1),"0123456789")),MID($L34,15,1),IF(ISNUMBER(FIND(MID($L34,15,1),"ABCDEFGHIJKLMNOPQRSTUVWXYZ")),CODE(MID($L34,15,1))-55,"#")))</f>
        <v/>
      </c>
      <c r="AC34" s="18" t="str">
        <f aca="false">IF(LEN($L34)&lt;16,"",IF(ISNUMBER(FIND(MID($L34,16,1),"0123456789")),MID($L34,16,1),IF(ISNUMBER(FIND(MID($L34,16,1),"ABCDEFGHIJKLMNOPQRSTUVWXYZ")),CODE(MID($L34,16,1))-55,"#")))</f>
        <v/>
      </c>
      <c r="AD34" s="18" t="str">
        <f aca="false">IF(LEN($L34)&lt;17,"",IF(ISNUMBER(FIND(MID($L34,17,1),"0123456789")),MID($L34,17,1),IF(ISNUMBER(FIND(MID($L34,17,1),"ABCDEFGHIJKLMNOPQRSTUVWXYZ")),CODE(MID($L34,17,1))-55,"#")))</f>
        <v/>
      </c>
      <c r="AE34" s="18" t="str">
        <f aca="false">IF(LEN($L34)&lt;18,"",IF(ISNUMBER(FIND(MID($L34,18,1),"0123456789")),MID($L34,18,1),IF(ISNUMBER(FIND(MID($L34,18,1),"ABCDEFGHIJKLMNOPQRSTUVWXYZ")),CODE(MID($L34,18,1))-55,"#")))</f>
        <v/>
      </c>
      <c r="AF34" s="18" t="str">
        <f aca="false">IF(LEN($L34)&lt;19,"",IF(ISNUMBER(FIND(MID($L34,19,1),"0123456789")),MID($L34,19,1),IF(ISNUMBER(FIND(MID($L34,19,1),"ABCDEFGHIJKLMNOPQRSTUVWXYZ")),CODE(MID($L34,19,1))-55,"#")))</f>
        <v/>
      </c>
      <c r="AG34" s="18" t="str">
        <f aca="false">IF(LEN($L34)&lt;20,"",IF(ISNUMBER(FIND(MID($L34,20,1),"0123456789")),MID($L34,20,1),IF(ISNUMBER(FIND(MID($L34,20,1),"ABCDEFGHIJKLMNOPQRSTUVWXYZ")),CODE(MID($L34,20,1))-55,"#")))</f>
        <v/>
      </c>
      <c r="AH34" s="18" t="str">
        <f aca="false">IF(LEN($L34)&lt;21,"",IF(ISNUMBER(FIND(MID($L34,21,1),"0123456789")),MID($L34,21,1),IF(ISNUMBER(FIND(MID($L34,21,1),"ABCDEFGHIJKLMNOPQRSTUVWXYZ")),CODE(MID($L34,21,1))-55,"#")))</f>
        <v/>
      </c>
      <c r="AI34" s="18" t="str">
        <f aca="false">IF(LEN($L34)&lt;22,"",IF(ISNUMBER(FIND(MID($L34,22,1),"0123456789")),MID($L34,22,1),IF(ISNUMBER(FIND(MID($L34,22,1),"ABCDEFGHIJKLMNOPQRSTUVWXYZ")),CODE(MID($L34,22,1))-55,"#")))</f>
        <v/>
      </c>
      <c r="AJ34" s="18" t="str">
        <f aca="false">IF(LEN($L34)&lt;23,"",IF(ISNUMBER(FIND(MID($L34,23,1),"0123456789")),MID($L34,23,1),IF(ISNUMBER(FIND(MID($L34,23,1),"ABCDEFGHIJKLMNOPQRSTUVWXYZ")),CODE(MID($L34,23,1))-55,"#")))</f>
        <v/>
      </c>
      <c r="AK34" s="18" t="str">
        <f aca="false">IF(LEN($L34)&lt;24,"",IF(ISNUMBER(FIND(MID($L34,24,1),"0123456789")),MID($L34,24,1),IF(ISNUMBER(FIND(MID($L34,24,1),"ABCDEFGHIJKLMNOPQRSTUVWXYZ")),CODE(MID($L34,24,1))-55,"#")))</f>
        <v/>
      </c>
      <c r="AL34" s="18" t="str">
        <f aca="false">IF(LEN($L34)&lt;25,"",IF(ISNUMBER(FIND(MID($L34,25,1),"0123456789")),MID($L34,25,1),IF(ISNUMBER(FIND(MID($L34,25,1),"ABCDEFGHIJKLMNOPQRSTUVWXYZ")),CODE(MID($L34,25,1))-55,"#")))</f>
        <v/>
      </c>
      <c r="AM34" s="18" t="str">
        <f aca="false">IF(LEN($L34)&lt;26,"",IF(ISNUMBER(FIND(MID($L34,26,1),"0123456789")),MID($L34,26,1),IF(ISNUMBER(FIND(MID($L34,26,1),"ABCDEFGHIJKLMNOPQRSTUVWXYZ")),CODE(MID($L34,26,1))-55,"#")))</f>
        <v/>
      </c>
      <c r="AN34" s="18" t="str">
        <f aca="false">IF(LEN($L34)&lt;27,"",IF(ISNUMBER(FIND(MID($L34,27,1),"0123456789")),MID($L34,27,1),IF(ISNUMBER(FIND(MID($L34,27,1),"ABCDEFGHIJKLMNOPQRSTUVWXYZ")),CODE(MID($L34,27,1))-55,"#")))</f>
        <v/>
      </c>
      <c r="AO34" s="18" t="str">
        <f aca="false">IF(LEN($L34)&lt;28,"",IF(ISNUMBER(FIND(MID($L34,28,1),"0123456789")),MID($L34,28,1),IF(ISNUMBER(FIND(MID($L34,28,1),"ABCDEFGHIJKLMNOPQRSTUVWXYZ")),CODE(MID($L34,28,1))-55,"#")))</f>
        <v/>
      </c>
      <c r="AP34" s="18" t="str">
        <f aca="false">IF(LEN($L34)&lt;29,"",IF(ISNUMBER(FIND(MID($L34,29,1),"0123456789")),MID($L34,29,1),IF(ISNUMBER(FIND(MID($L34,29,1),"ABCDEFGHIJKLMNOPQRSTUVWXYZ")),CODE(MID($L34,29,1))-55,"#")))</f>
        <v/>
      </c>
      <c r="AQ34" s="18" t="str">
        <f aca="false">IF(LEN($L34)&lt;30,"",IF(ISNUMBER(FIND(MID($L34,30,1),"0123456789")),MID($L34,30,1),IF(ISNUMBER(FIND(MID($L34,30,1),"ABCDEFGHIJKLMNOPQRSTUVWXYZ")),CODE(MID($L34,30,1))-55,"#")))</f>
        <v/>
      </c>
      <c r="AR34" s="18" t="str">
        <f aca="false">IF(LEN($L34)&lt;31,"",IF(ISNUMBER(FIND(MID($L34,31,1),"0123456789")),MID($L34,31,1),IF(ISNUMBER(FIND(MID($L34,31,1),"ABCDEFGHIJKLMNOPQRSTUVWXYZ")),CODE(MID($L34,31,1))-55,"#")))</f>
        <v/>
      </c>
      <c r="AS34" s="18" t="str">
        <f aca="false">IF(LEN($L34)&lt;32,"",IF(ISNUMBER(FIND(MID($L34,32,1),"0123456789")),MID($L34,32,1),IF(ISNUMBER(FIND(MID($L34,32,1),"ABCDEFGHIJKLMNOPQRSTUVWXYZ")),CODE(MID($L34,32,1))-55,"#")))</f>
        <v/>
      </c>
      <c r="AT34" s="18" t="str">
        <f aca="false">IF(LEN($L34)&lt;33,"",IF(ISNUMBER(FIND(MID($L34,33,1),"0123456789")),MID($L34,33,1),IF(ISNUMBER(FIND(MID($L34,33,1),"ABCDEFGHIJKLMNOPQRSTUVWXYZ")),CODE(MID($L34,33,1))-55,"#")))</f>
        <v/>
      </c>
      <c r="AU34" s="18" t="str">
        <f aca="false">IF(LEN($L34)&lt;34,"",IF(ISNUMBER(FIND(MID($L34,34,1),"0123456789")),MID($L34,34,1),IF(ISNUMBER(FIND(MID($L34,34,1),"ABCDEFGHIJKLMNOPQRSTUVWXYZ")),CODE(MID($L34,34,1))-55,"#")))</f>
        <v/>
      </c>
      <c r="AV34" s="18" t="str">
        <f aca="false">_xlfn.CONCAT(N34:AU34)</f>
        <v/>
      </c>
      <c r="AW34" s="18" t="str">
        <f aca="false">IF(OR(AV34="",M34=FALSE()),"",MOD(VALUE(MID(AV34,1,9)),97))</f>
        <v/>
      </c>
      <c r="AX34" s="18" t="str">
        <f aca="false">IF(AW34="","",MOD(VALUE(AW34&amp;MID(AV34,10,7)),97))</f>
        <v/>
      </c>
      <c r="AY34" s="18" t="str">
        <f aca="false">IF(AX34="","",MOD(VALUE(AX34&amp;MID(AV34,17,7)),97))</f>
        <v/>
      </c>
      <c r="AZ34" s="18" t="str">
        <f aca="false">IF(AY34="","",MOD(VALUE(AY34&amp;MID(AV34,24,7)),97))</f>
        <v/>
      </c>
      <c r="BA34" s="18" t="str">
        <f aca="false">IF(AZ34="","",MOD(VALUE(AZ34&amp;MID(AV34,31,7)),97))</f>
        <v/>
      </c>
      <c r="BB34" s="18" t="str">
        <f aca="false">IF(BA34="","",MOD(VALUE(BA34&amp;MID(AV34,38,7)),97))</f>
        <v/>
      </c>
      <c r="BC34" s="18" t="str">
        <f aca="false">IF(BB34="","",MOD(VALUE(BB34&amp;MID(AV34,45,7)),97))</f>
        <v/>
      </c>
      <c r="BD34" s="18" t="str">
        <f aca="false">IF(BC34="","",MOD(VALUE(BC34&amp;MID(AV34,52,7)),97))</f>
        <v/>
      </c>
      <c r="BE34" s="18" t="str">
        <f aca="false">IF(BD34="","",MOD(VALUE(BD34&amp;MID(AV34,59,7)),97))</f>
        <v/>
      </c>
      <c r="BF34" s="18" t="str">
        <f aca="false">IF(BE34="","",MOD(VALUE(BE34&amp;MID(AV34,66,7)),97))</f>
        <v/>
      </c>
    </row>
    <row r="35" customFormat="false" ht="15" hidden="false" customHeight="false" outlineLevel="0" collapsed="false">
      <c r="A35" s="11"/>
      <c r="B35" s="5" t="str">
        <f aca="false">UPPER(SUBSTITUTE(SUBSTITUTE(SUBSTITUTE(TRIM(A35)," ",""),"-",""),CHAR(160),""))</f>
        <v/>
      </c>
      <c r="C35" s="5" t="str">
        <f aca="false">IF(B35="","",LEN(B35))</f>
        <v/>
      </c>
      <c r="D35" s="5" t="str">
        <f aca="false">IF(B35="","",LEFT(B35,2))</f>
        <v/>
      </c>
      <c r="E35" s="5" t="str">
        <f aca="false">IF(B35="","",MID(B35,3,2))</f>
        <v/>
      </c>
      <c r="F35" s="5" t="str">
        <f aca="false">IF(B35="","",MID(B35,5,2))</f>
        <v/>
      </c>
      <c r="G35" s="5" t="str">
        <f aca="false">IF(B35="","",IFERROR(INDEX('رموز البنوك'!$C$5:$C$30,MATCH(F35,'رموز البنوك'!$B$5:$B$30,0)),"رمز غير معروف"))</f>
        <v/>
      </c>
      <c r="H35" s="5" t="str">
        <f aca="false">BF35</f>
        <v/>
      </c>
      <c r="I35" s="5" t="str">
        <f aca="false">IF(OR(H35="",NOT(AND(ISNUMBER(FIND(MID(B35,3,1),"0123456789")),ISNUMBER(FIND(MID(B35,4,1),"0123456789"))))),"",TEXT(98-MOD(H35-VALUE(E35),97),"00"))</f>
        <v/>
      </c>
      <c r="J35" s="4" t="str">
        <f aca="false">IF(B35="","",IF(LEFT(K35,10)="آيبان صحيح","صحيح ✓","غير صحيح ✗"))</f>
        <v/>
      </c>
      <c r="K35" s="10" t="str">
        <f aca="false">IF(B35="","",IF(M35=FALSE(),"يحتوي رموزاً غير مسموحة (المسموح A–Z و 0–9 فقط)",IF(D35&lt;&gt;"SA","رمز الدولة "&amp;D35&amp;" — هذا المدقق للآيبان السعودي SA",IF(C35&lt;&gt;24,"الطول "&amp;C35&amp;" خانة والمطلوب 24",IF(NOT(AND(ISNUMBER(FIND(MID(B35,3,1),"0123456789")),ISNUMBER(FIND(MID(B35,4,1),"0123456789")))),"خانتا التدقيق يجب أن تكونا رقمين",IF(ISERROR(VALUE(MID(B35,5,20))),"رمز البنك ورقم الحساب يجب أن يكونا أرقاماً",IF(H35&lt;&gt;1,"فشل اختبار MOD-97 (الباقي "&amp;H35&amp;" وليس 1) — خطأ في كتابة الرقم؛ خانتا التدقيق الصحيحتان لهذا الحساب "&amp;I35,IF(G35="رمز غير معروف","اجتاز MOD-97 لكن رمز البنك "&amp;F35&amp;" غير مسجل في جدول البنوك","آيبان صحيح — "&amp;G35))))))))</f>
        <v/>
      </c>
      <c r="L35" s="18" t="str">
        <f aca="false">IF(B35="","",MID(B35,5,40)&amp;LEFT(B35,4))</f>
        <v/>
      </c>
      <c r="M35" s="18" t="str">
        <f aca="false">IF(L35="","",NOT(ISNUMBER(FIND("#",AV35))))</f>
        <v/>
      </c>
      <c r="N35" s="18" t="str">
        <f aca="false">IF(LEN($L35)&lt;1,"",IF(ISNUMBER(FIND(MID($L35,1,1),"0123456789")),MID($L35,1,1),IF(ISNUMBER(FIND(MID($L35,1,1),"ABCDEFGHIJKLMNOPQRSTUVWXYZ")),CODE(MID($L35,1,1))-55,"#")))</f>
        <v/>
      </c>
      <c r="O35" s="18" t="str">
        <f aca="false">IF(LEN($L35)&lt;2,"",IF(ISNUMBER(FIND(MID($L35,2,1),"0123456789")),MID($L35,2,1),IF(ISNUMBER(FIND(MID($L35,2,1),"ABCDEFGHIJKLMNOPQRSTUVWXYZ")),CODE(MID($L35,2,1))-55,"#")))</f>
        <v/>
      </c>
      <c r="P35" s="18" t="str">
        <f aca="false">IF(LEN($L35)&lt;3,"",IF(ISNUMBER(FIND(MID($L35,3,1),"0123456789")),MID($L35,3,1),IF(ISNUMBER(FIND(MID($L35,3,1),"ABCDEFGHIJKLMNOPQRSTUVWXYZ")),CODE(MID($L35,3,1))-55,"#")))</f>
        <v/>
      </c>
      <c r="Q35" s="18" t="str">
        <f aca="false">IF(LEN($L35)&lt;4,"",IF(ISNUMBER(FIND(MID($L35,4,1),"0123456789")),MID($L35,4,1),IF(ISNUMBER(FIND(MID($L35,4,1),"ABCDEFGHIJKLMNOPQRSTUVWXYZ")),CODE(MID($L35,4,1))-55,"#")))</f>
        <v/>
      </c>
      <c r="R35" s="18" t="str">
        <f aca="false">IF(LEN($L35)&lt;5,"",IF(ISNUMBER(FIND(MID($L35,5,1),"0123456789")),MID($L35,5,1),IF(ISNUMBER(FIND(MID($L35,5,1),"ABCDEFGHIJKLMNOPQRSTUVWXYZ")),CODE(MID($L35,5,1))-55,"#")))</f>
        <v/>
      </c>
      <c r="S35" s="18" t="str">
        <f aca="false">IF(LEN($L35)&lt;6,"",IF(ISNUMBER(FIND(MID($L35,6,1),"0123456789")),MID($L35,6,1),IF(ISNUMBER(FIND(MID($L35,6,1),"ABCDEFGHIJKLMNOPQRSTUVWXYZ")),CODE(MID($L35,6,1))-55,"#")))</f>
        <v/>
      </c>
      <c r="T35" s="18" t="str">
        <f aca="false">IF(LEN($L35)&lt;7,"",IF(ISNUMBER(FIND(MID($L35,7,1),"0123456789")),MID($L35,7,1),IF(ISNUMBER(FIND(MID($L35,7,1),"ABCDEFGHIJKLMNOPQRSTUVWXYZ")),CODE(MID($L35,7,1))-55,"#")))</f>
        <v/>
      </c>
      <c r="U35" s="18" t="str">
        <f aca="false">IF(LEN($L35)&lt;8,"",IF(ISNUMBER(FIND(MID($L35,8,1),"0123456789")),MID($L35,8,1),IF(ISNUMBER(FIND(MID($L35,8,1),"ABCDEFGHIJKLMNOPQRSTUVWXYZ")),CODE(MID($L35,8,1))-55,"#")))</f>
        <v/>
      </c>
      <c r="V35" s="18" t="str">
        <f aca="false">IF(LEN($L35)&lt;9,"",IF(ISNUMBER(FIND(MID($L35,9,1),"0123456789")),MID($L35,9,1),IF(ISNUMBER(FIND(MID($L35,9,1),"ABCDEFGHIJKLMNOPQRSTUVWXYZ")),CODE(MID($L35,9,1))-55,"#")))</f>
        <v/>
      </c>
      <c r="W35" s="18" t="str">
        <f aca="false">IF(LEN($L35)&lt;10,"",IF(ISNUMBER(FIND(MID($L35,10,1),"0123456789")),MID($L35,10,1),IF(ISNUMBER(FIND(MID($L35,10,1),"ABCDEFGHIJKLMNOPQRSTUVWXYZ")),CODE(MID($L35,10,1))-55,"#")))</f>
        <v/>
      </c>
      <c r="X35" s="18" t="str">
        <f aca="false">IF(LEN($L35)&lt;11,"",IF(ISNUMBER(FIND(MID($L35,11,1),"0123456789")),MID($L35,11,1),IF(ISNUMBER(FIND(MID($L35,11,1),"ABCDEFGHIJKLMNOPQRSTUVWXYZ")),CODE(MID($L35,11,1))-55,"#")))</f>
        <v/>
      </c>
      <c r="Y35" s="18" t="str">
        <f aca="false">IF(LEN($L35)&lt;12,"",IF(ISNUMBER(FIND(MID($L35,12,1),"0123456789")),MID($L35,12,1),IF(ISNUMBER(FIND(MID($L35,12,1),"ABCDEFGHIJKLMNOPQRSTUVWXYZ")),CODE(MID($L35,12,1))-55,"#")))</f>
        <v/>
      </c>
      <c r="Z35" s="18" t="str">
        <f aca="false">IF(LEN($L35)&lt;13,"",IF(ISNUMBER(FIND(MID($L35,13,1),"0123456789")),MID($L35,13,1),IF(ISNUMBER(FIND(MID($L35,13,1),"ABCDEFGHIJKLMNOPQRSTUVWXYZ")),CODE(MID($L35,13,1))-55,"#")))</f>
        <v/>
      </c>
      <c r="AA35" s="18" t="str">
        <f aca="false">IF(LEN($L35)&lt;14,"",IF(ISNUMBER(FIND(MID($L35,14,1),"0123456789")),MID($L35,14,1),IF(ISNUMBER(FIND(MID($L35,14,1),"ABCDEFGHIJKLMNOPQRSTUVWXYZ")),CODE(MID($L35,14,1))-55,"#")))</f>
        <v/>
      </c>
      <c r="AB35" s="18" t="str">
        <f aca="false">IF(LEN($L35)&lt;15,"",IF(ISNUMBER(FIND(MID($L35,15,1),"0123456789")),MID($L35,15,1),IF(ISNUMBER(FIND(MID($L35,15,1),"ABCDEFGHIJKLMNOPQRSTUVWXYZ")),CODE(MID($L35,15,1))-55,"#")))</f>
        <v/>
      </c>
      <c r="AC35" s="18" t="str">
        <f aca="false">IF(LEN($L35)&lt;16,"",IF(ISNUMBER(FIND(MID($L35,16,1),"0123456789")),MID($L35,16,1),IF(ISNUMBER(FIND(MID($L35,16,1),"ABCDEFGHIJKLMNOPQRSTUVWXYZ")),CODE(MID($L35,16,1))-55,"#")))</f>
        <v/>
      </c>
      <c r="AD35" s="18" t="str">
        <f aca="false">IF(LEN($L35)&lt;17,"",IF(ISNUMBER(FIND(MID($L35,17,1),"0123456789")),MID($L35,17,1),IF(ISNUMBER(FIND(MID($L35,17,1),"ABCDEFGHIJKLMNOPQRSTUVWXYZ")),CODE(MID($L35,17,1))-55,"#")))</f>
        <v/>
      </c>
      <c r="AE35" s="18" t="str">
        <f aca="false">IF(LEN($L35)&lt;18,"",IF(ISNUMBER(FIND(MID($L35,18,1),"0123456789")),MID($L35,18,1),IF(ISNUMBER(FIND(MID($L35,18,1),"ABCDEFGHIJKLMNOPQRSTUVWXYZ")),CODE(MID($L35,18,1))-55,"#")))</f>
        <v/>
      </c>
      <c r="AF35" s="18" t="str">
        <f aca="false">IF(LEN($L35)&lt;19,"",IF(ISNUMBER(FIND(MID($L35,19,1),"0123456789")),MID($L35,19,1),IF(ISNUMBER(FIND(MID($L35,19,1),"ABCDEFGHIJKLMNOPQRSTUVWXYZ")),CODE(MID($L35,19,1))-55,"#")))</f>
        <v/>
      </c>
      <c r="AG35" s="18" t="str">
        <f aca="false">IF(LEN($L35)&lt;20,"",IF(ISNUMBER(FIND(MID($L35,20,1),"0123456789")),MID($L35,20,1),IF(ISNUMBER(FIND(MID($L35,20,1),"ABCDEFGHIJKLMNOPQRSTUVWXYZ")),CODE(MID($L35,20,1))-55,"#")))</f>
        <v/>
      </c>
      <c r="AH35" s="18" t="str">
        <f aca="false">IF(LEN($L35)&lt;21,"",IF(ISNUMBER(FIND(MID($L35,21,1),"0123456789")),MID($L35,21,1),IF(ISNUMBER(FIND(MID($L35,21,1),"ABCDEFGHIJKLMNOPQRSTUVWXYZ")),CODE(MID($L35,21,1))-55,"#")))</f>
        <v/>
      </c>
      <c r="AI35" s="18" t="str">
        <f aca="false">IF(LEN($L35)&lt;22,"",IF(ISNUMBER(FIND(MID($L35,22,1),"0123456789")),MID($L35,22,1),IF(ISNUMBER(FIND(MID($L35,22,1),"ABCDEFGHIJKLMNOPQRSTUVWXYZ")),CODE(MID($L35,22,1))-55,"#")))</f>
        <v/>
      </c>
      <c r="AJ35" s="18" t="str">
        <f aca="false">IF(LEN($L35)&lt;23,"",IF(ISNUMBER(FIND(MID($L35,23,1),"0123456789")),MID($L35,23,1),IF(ISNUMBER(FIND(MID($L35,23,1),"ABCDEFGHIJKLMNOPQRSTUVWXYZ")),CODE(MID($L35,23,1))-55,"#")))</f>
        <v/>
      </c>
      <c r="AK35" s="18" t="str">
        <f aca="false">IF(LEN($L35)&lt;24,"",IF(ISNUMBER(FIND(MID($L35,24,1),"0123456789")),MID($L35,24,1),IF(ISNUMBER(FIND(MID($L35,24,1),"ABCDEFGHIJKLMNOPQRSTUVWXYZ")),CODE(MID($L35,24,1))-55,"#")))</f>
        <v/>
      </c>
      <c r="AL35" s="18" t="str">
        <f aca="false">IF(LEN($L35)&lt;25,"",IF(ISNUMBER(FIND(MID($L35,25,1),"0123456789")),MID($L35,25,1),IF(ISNUMBER(FIND(MID($L35,25,1),"ABCDEFGHIJKLMNOPQRSTUVWXYZ")),CODE(MID($L35,25,1))-55,"#")))</f>
        <v/>
      </c>
      <c r="AM35" s="18" t="str">
        <f aca="false">IF(LEN($L35)&lt;26,"",IF(ISNUMBER(FIND(MID($L35,26,1),"0123456789")),MID($L35,26,1),IF(ISNUMBER(FIND(MID($L35,26,1),"ABCDEFGHIJKLMNOPQRSTUVWXYZ")),CODE(MID($L35,26,1))-55,"#")))</f>
        <v/>
      </c>
      <c r="AN35" s="18" t="str">
        <f aca="false">IF(LEN($L35)&lt;27,"",IF(ISNUMBER(FIND(MID($L35,27,1),"0123456789")),MID($L35,27,1),IF(ISNUMBER(FIND(MID($L35,27,1),"ABCDEFGHIJKLMNOPQRSTUVWXYZ")),CODE(MID($L35,27,1))-55,"#")))</f>
        <v/>
      </c>
      <c r="AO35" s="18" t="str">
        <f aca="false">IF(LEN($L35)&lt;28,"",IF(ISNUMBER(FIND(MID($L35,28,1),"0123456789")),MID($L35,28,1),IF(ISNUMBER(FIND(MID($L35,28,1),"ABCDEFGHIJKLMNOPQRSTUVWXYZ")),CODE(MID($L35,28,1))-55,"#")))</f>
        <v/>
      </c>
      <c r="AP35" s="18" t="str">
        <f aca="false">IF(LEN($L35)&lt;29,"",IF(ISNUMBER(FIND(MID($L35,29,1),"0123456789")),MID($L35,29,1),IF(ISNUMBER(FIND(MID($L35,29,1),"ABCDEFGHIJKLMNOPQRSTUVWXYZ")),CODE(MID($L35,29,1))-55,"#")))</f>
        <v/>
      </c>
      <c r="AQ35" s="18" t="str">
        <f aca="false">IF(LEN($L35)&lt;30,"",IF(ISNUMBER(FIND(MID($L35,30,1),"0123456789")),MID($L35,30,1),IF(ISNUMBER(FIND(MID($L35,30,1),"ABCDEFGHIJKLMNOPQRSTUVWXYZ")),CODE(MID($L35,30,1))-55,"#")))</f>
        <v/>
      </c>
      <c r="AR35" s="18" t="str">
        <f aca="false">IF(LEN($L35)&lt;31,"",IF(ISNUMBER(FIND(MID($L35,31,1),"0123456789")),MID($L35,31,1),IF(ISNUMBER(FIND(MID($L35,31,1),"ABCDEFGHIJKLMNOPQRSTUVWXYZ")),CODE(MID($L35,31,1))-55,"#")))</f>
        <v/>
      </c>
      <c r="AS35" s="18" t="str">
        <f aca="false">IF(LEN($L35)&lt;32,"",IF(ISNUMBER(FIND(MID($L35,32,1),"0123456789")),MID($L35,32,1),IF(ISNUMBER(FIND(MID($L35,32,1),"ABCDEFGHIJKLMNOPQRSTUVWXYZ")),CODE(MID($L35,32,1))-55,"#")))</f>
        <v/>
      </c>
      <c r="AT35" s="18" t="str">
        <f aca="false">IF(LEN($L35)&lt;33,"",IF(ISNUMBER(FIND(MID($L35,33,1),"0123456789")),MID($L35,33,1),IF(ISNUMBER(FIND(MID($L35,33,1),"ABCDEFGHIJKLMNOPQRSTUVWXYZ")),CODE(MID($L35,33,1))-55,"#")))</f>
        <v/>
      </c>
      <c r="AU35" s="18" t="str">
        <f aca="false">IF(LEN($L35)&lt;34,"",IF(ISNUMBER(FIND(MID($L35,34,1),"0123456789")),MID($L35,34,1),IF(ISNUMBER(FIND(MID($L35,34,1),"ABCDEFGHIJKLMNOPQRSTUVWXYZ")),CODE(MID($L35,34,1))-55,"#")))</f>
        <v/>
      </c>
      <c r="AV35" s="18" t="str">
        <f aca="false">_xlfn.CONCAT(N35:AU35)</f>
        <v/>
      </c>
      <c r="AW35" s="18" t="str">
        <f aca="false">IF(OR(AV35="",M35=FALSE()),"",MOD(VALUE(MID(AV35,1,9)),97))</f>
        <v/>
      </c>
      <c r="AX35" s="18" t="str">
        <f aca="false">IF(AW35="","",MOD(VALUE(AW35&amp;MID(AV35,10,7)),97))</f>
        <v/>
      </c>
      <c r="AY35" s="18" t="str">
        <f aca="false">IF(AX35="","",MOD(VALUE(AX35&amp;MID(AV35,17,7)),97))</f>
        <v/>
      </c>
      <c r="AZ35" s="18" t="str">
        <f aca="false">IF(AY35="","",MOD(VALUE(AY35&amp;MID(AV35,24,7)),97))</f>
        <v/>
      </c>
      <c r="BA35" s="18" t="str">
        <f aca="false">IF(AZ35="","",MOD(VALUE(AZ35&amp;MID(AV35,31,7)),97))</f>
        <v/>
      </c>
      <c r="BB35" s="18" t="str">
        <f aca="false">IF(BA35="","",MOD(VALUE(BA35&amp;MID(AV35,38,7)),97))</f>
        <v/>
      </c>
      <c r="BC35" s="18" t="str">
        <f aca="false">IF(BB35="","",MOD(VALUE(BB35&amp;MID(AV35,45,7)),97))</f>
        <v/>
      </c>
      <c r="BD35" s="18" t="str">
        <f aca="false">IF(BC35="","",MOD(VALUE(BC35&amp;MID(AV35,52,7)),97))</f>
        <v/>
      </c>
      <c r="BE35" s="18" t="str">
        <f aca="false">IF(BD35="","",MOD(VALUE(BD35&amp;MID(AV35,59,7)),97))</f>
        <v/>
      </c>
      <c r="BF35" s="18" t="str">
        <f aca="false">IF(BE35="","",MOD(VALUE(BE35&amp;MID(AV35,66,7)),97))</f>
        <v/>
      </c>
    </row>
    <row r="36" customFormat="false" ht="15" hidden="false" customHeight="false" outlineLevel="0" collapsed="false">
      <c r="A36" s="11"/>
      <c r="B36" s="5" t="str">
        <f aca="false">UPPER(SUBSTITUTE(SUBSTITUTE(SUBSTITUTE(TRIM(A36)," ",""),"-",""),CHAR(160),""))</f>
        <v/>
      </c>
      <c r="C36" s="5" t="str">
        <f aca="false">IF(B36="","",LEN(B36))</f>
        <v/>
      </c>
      <c r="D36" s="5" t="str">
        <f aca="false">IF(B36="","",LEFT(B36,2))</f>
        <v/>
      </c>
      <c r="E36" s="5" t="str">
        <f aca="false">IF(B36="","",MID(B36,3,2))</f>
        <v/>
      </c>
      <c r="F36" s="5" t="str">
        <f aca="false">IF(B36="","",MID(B36,5,2))</f>
        <v/>
      </c>
      <c r="G36" s="5" t="str">
        <f aca="false">IF(B36="","",IFERROR(INDEX('رموز البنوك'!$C$5:$C$30,MATCH(F36,'رموز البنوك'!$B$5:$B$30,0)),"رمز غير معروف"))</f>
        <v/>
      </c>
      <c r="H36" s="5" t="str">
        <f aca="false">BF36</f>
        <v/>
      </c>
      <c r="I36" s="5" t="str">
        <f aca="false">IF(OR(H36="",NOT(AND(ISNUMBER(FIND(MID(B36,3,1),"0123456789")),ISNUMBER(FIND(MID(B36,4,1),"0123456789"))))),"",TEXT(98-MOD(H36-VALUE(E36),97),"00"))</f>
        <v/>
      </c>
      <c r="J36" s="4" t="str">
        <f aca="false">IF(B36="","",IF(LEFT(K36,10)="آيبان صحيح","صحيح ✓","غير صحيح ✗"))</f>
        <v/>
      </c>
      <c r="K36" s="10" t="str">
        <f aca="false">IF(B36="","",IF(M36=FALSE(),"يحتوي رموزاً غير مسموحة (المسموح A–Z و 0–9 فقط)",IF(D36&lt;&gt;"SA","رمز الدولة "&amp;D36&amp;" — هذا المدقق للآيبان السعودي SA",IF(C36&lt;&gt;24,"الطول "&amp;C36&amp;" خانة والمطلوب 24",IF(NOT(AND(ISNUMBER(FIND(MID(B36,3,1),"0123456789")),ISNUMBER(FIND(MID(B36,4,1),"0123456789")))),"خانتا التدقيق يجب أن تكونا رقمين",IF(ISERROR(VALUE(MID(B36,5,20))),"رمز البنك ورقم الحساب يجب أن يكونا أرقاماً",IF(H36&lt;&gt;1,"فشل اختبار MOD-97 (الباقي "&amp;H36&amp;" وليس 1) — خطأ في كتابة الرقم؛ خانتا التدقيق الصحيحتان لهذا الحساب "&amp;I36,IF(G36="رمز غير معروف","اجتاز MOD-97 لكن رمز البنك "&amp;F36&amp;" غير مسجل في جدول البنوك","آيبان صحيح — "&amp;G36))))))))</f>
        <v/>
      </c>
      <c r="L36" s="18" t="str">
        <f aca="false">IF(B36="","",MID(B36,5,40)&amp;LEFT(B36,4))</f>
        <v/>
      </c>
      <c r="M36" s="18" t="str">
        <f aca="false">IF(L36="","",NOT(ISNUMBER(FIND("#",AV36))))</f>
        <v/>
      </c>
      <c r="N36" s="18" t="str">
        <f aca="false">IF(LEN($L36)&lt;1,"",IF(ISNUMBER(FIND(MID($L36,1,1),"0123456789")),MID($L36,1,1),IF(ISNUMBER(FIND(MID($L36,1,1),"ABCDEFGHIJKLMNOPQRSTUVWXYZ")),CODE(MID($L36,1,1))-55,"#")))</f>
        <v/>
      </c>
      <c r="O36" s="18" t="str">
        <f aca="false">IF(LEN($L36)&lt;2,"",IF(ISNUMBER(FIND(MID($L36,2,1),"0123456789")),MID($L36,2,1),IF(ISNUMBER(FIND(MID($L36,2,1),"ABCDEFGHIJKLMNOPQRSTUVWXYZ")),CODE(MID($L36,2,1))-55,"#")))</f>
        <v/>
      </c>
      <c r="P36" s="18" t="str">
        <f aca="false">IF(LEN($L36)&lt;3,"",IF(ISNUMBER(FIND(MID($L36,3,1),"0123456789")),MID($L36,3,1),IF(ISNUMBER(FIND(MID($L36,3,1),"ABCDEFGHIJKLMNOPQRSTUVWXYZ")),CODE(MID($L36,3,1))-55,"#")))</f>
        <v/>
      </c>
      <c r="Q36" s="18" t="str">
        <f aca="false">IF(LEN($L36)&lt;4,"",IF(ISNUMBER(FIND(MID($L36,4,1),"0123456789")),MID($L36,4,1),IF(ISNUMBER(FIND(MID($L36,4,1),"ABCDEFGHIJKLMNOPQRSTUVWXYZ")),CODE(MID($L36,4,1))-55,"#")))</f>
        <v/>
      </c>
      <c r="R36" s="18" t="str">
        <f aca="false">IF(LEN($L36)&lt;5,"",IF(ISNUMBER(FIND(MID($L36,5,1),"0123456789")),MID($L36,5,1),IF(ISNUMBER(FIND(MID($L36,5,1),"ABCDEFGHIJKLMNOPQRSTUVWXYZ")),CODE(MID($L36,5,1))-55,"#")))</f>
        <v/>
      </c>
      <c r="S36" s="18" t="str">
        <f aca="false">IF(LEN($L36)&lt;6,"",IF(ISNUMBER(FIND(MID($L36,6,1),"0123456789")),MID($L36,6,1),IF(ISNUMBER(FIND(MID($L36,6,1),"ABCDEFGHIJKLMNOPQRSTUVWXYZ")),CODE(MID($L36,6,1))-55,"#")))</f>
        <v/>
      </c>
      <c r="T36" s="18" t="str">
        <f aca="false">IF(LEN($L36)&lt;7,"",IF(ISNUMBER(FIND(MID($L36,7,1),"0123456789")),MID($L36,7,1),IF(ISNUMBER(FIND(MID($L36,7,1),"ABCDEFGHIJKLMNOPQRSTUVWXYZ")),CODE(MID($L36,7,1))-55,"#")))</f>
        <v/>
      </c>
      <c r="U36" s="18" t="str">
        <f aca="false">IF(LEN($L36)&lt;8,"",IF(ISNUMBER(FIND(MID($L36,8,1),"0123456789")),MID($L36,8,1),IF(ISNUMBER(FIND(MID($L36,8,1),"ABCDEFGHIJKLMNOPQRSTUVWXYZ")),CODE(MID($L36,8,1))-55,"#")))</f>
        <v/>
      </c>
      <c r="V36" s="18" t="str">
        <f aca="false">IF(LEN($L36)&lt;9,"",IF(ISNUMBER(FIND(MID($L36,9,1),"0123456789")),MID($L36,9,1),IF(ISNUMBER(FIND(MID($L36,9,1),"ABCDEFGHIJKLMNOPQRSTUVWXYZ")),CODE(MID($L36,9,1))-55,"#")))</f>
        <v/>
      </c>
      <c r="W36" s="18" t="str">
        <f aca="false">IF(LEN($L36)&lt;10,"",IF(ISNUMBER(FIND(MID($L36,10,1),"0123456789")),MID($L36,10,1),IF(ISNUMBER(FIND(MID($L36,10,1),"ABCDEFGHIJKLMNOPQRSTUVWXYZ")),CODE(MID($L36,10,1))-55,"#")))</f>
        <v/>
      </c>
      <c r="X36" s="18" t="str">
        <f aca="false">IF(LEN($L36)&lt;11,"",IF(ISNUMBER(FIND(MID($L36,11,1),"0123456789")),MID($L36,11,1),IF(ISNUMBER(FIND(MID($L36,11,1),"ABCDEFGHIJKLMNOPQRSTUVWXYZ")),CODE(MID($L36,11,1))-55,"#")))</f>
        <v/>
      </c>
      <c r="Y36" s="18" t="str">
        <f aca="false">IF(LEN($L36)&lt;12,"",IF(ISNUMBER(FIND(MID($L36,12,1),"0123456789")),MID($L36,12,1),IF(ISNUMBER(FIND(MID($L36,12,1),"ABCDEFGHIJKLMNOPQRSTUVWXYZ")),CODE(MID($L36,12,1))-55,"#")))</f>
        <v/>
      </c>
      <c r="Z36" s="18" t="str">
        <f aca="false">IF(LEN($L36)&lt;13,"",IF(ISNUMBER(FIND(MID($L36,13,1),"0123456789")),MID($L36,13,1),IF(ISNUMBER(FIND(MID($L36,13,1),"ABCDEFGHIJKLMNOPQRSTUVWXYZ")),CODE(MID($L36,13,1))-55,"#")))</f>
        <v/>
      </c>
      <c r="AA36" s="18" t="str">
        <f aca="false">IF(LEN($L36)&lt;14,"",IF(ISNUMBER(FIND(MID($L36,14,1),"0123456789")),MID($L36,14,1),IF(ISNUMBER(FIND(MID($L36,14,1),"ABCDEFGHIJKLMNOPQRSTUVWXYZ")),CODE(MID($L36,14,1))-55,"#")))</f>
        <v/>
      </c>
      <c r="AB36" s="18" t="str">
        <f aca="false">IF(LEN($L36)&lt;15,"",IF(ISNUMBER(FIND(MID($L36,15,1),"0123456789")),MID($L36,15,1),IF(ISNUMBER(FIND(MID($L36,15,1),"ABCDEFGHIJKLMNOPQRSTUVWXYZ")),CODE(MID($L36,15,1))-55,"#")))</f>
        <v/>
      </c>
      <c r="AC36" s="18" t="str">
        <f aca="false">IF(LEN($L36)&lt;16,"",IF(ISNUMBER(FIND(MID($L36,16,1),"0123456789")),MID($L36,16,1),IF(ISNUMBER(FIND(MID($L36,16,1),"ABCDEFGHIJKLMNOPQRSTUVWXYZ")),CODE(MID($L36,16,1))-55,"#")))</f>
        <v/>
      </c>
      <c r="AD36" s="18" t="str">
        <f aca="false">IF(LEN($L36)&lt;17,"",IF(ISNUMBER(FIND(MID($L36,17,1),"0123456789")),MID($L36,17,1),IF(ISNUMBER(FIND(MID($L36,17,1),"ABCDEFGHIJKLMNOPQRSTUVWXYZ")),CODE(MID($L36,17,1))-55,"#")))</f>
        <v/>
      </c>
      <c r="AE36" s="18" t="str">
        <f aca="false">IF(LEN($L36)&lt;18,"",IF(ISNUMBER(FIND(MID($L36,18,1),"0123456789")),MID($L36,18,1),IF(ISNUMBER(FIND(MID($L36,18,1),"ABCDEFGHIJKLMNOPQRSTUVWXYZ")),CODE(MID($L36,18,1))-55,"#")))</f>
        <v/>
      </c>
      <c r="AF36" s="18" t="str">
        <f aca="false">IF(LEN($L36)&lt;19,"",IF(ISNUMBER(FIND(MID($L36,19,1),"0123456789")),MID($L36,19,1),IF(ISNUMBER(FIND(MID($L36,19,1),"ABCDEFGHIJKLMNOPQRSTUVWXYZ")),CODE(MID($L36,19,1))-55,"#")))</f>
        <v/>
      </c>
      <c r="AG36" s="18" t="str">
        <f aca="false">IF(LEN($L36)&lt;20,"",IF(ISNUMBER(FIND(MID($L36,20,1),"0123456789")),MID($L36,20,1),IF(ISNUMBER(FIND(MID($L36,20,1),"ABCDEFGHIJKLMNOPQRSTUVWXYZ")),CODE(MID($L36,20,1))-55,"#")))</f>
        <v/>
      </c>
      <c r="AH36" s="18" t="str">
        <f aca="false">IF(LEN($L36)&lt;21,"",IF(ISNUMBER(FIND(MID($L36,21,1),"0123456789")),MID($L36,21,1),IF(ISNUMBER(FIND(MID($L36,21,1),"ABCDEFGHIJKLMNOPQRSTUVWXYZ")),CODE(MID($L36,21,1))-55,"#")))</f>
        <v/>
      </c>
      <c r="AI36" s="18" t="str">
        <f aca="false">IF(LEN($L36)&lt;22,"",IF(ISNUMBER(FIND(MID($L36,22,1),"0123456789")),MID($L36,22,1),IF(ISNUMBER(FIND(MID($L36,22,1),"ABCDEFGHIJKLMNOPQRSTUVWXYZ")),CODE(MID($L36,22,1))-55,"#")))</f>
        <v/>
      </c>
      <c r="AJ36" s="18" t="str">
        <f aca="false">IF(LEN($L36)&lt;23,"",IF(ISNUMBER(FIND(MID($L36,23,1),"0123456789")),MID($L36,23,1),IF(ISNUMBER(FIND(MID($L36,23,1),"ABCDEFGHIJKLMNOPQRSTUVWXYZ")),CODE(MID($L36,23,1))-55,"#")))</f>
        <v/>
      </c>
      <c r="AK36" s="18" t="str">
        <f aca="false">IF(LEN($L36)&lt;24,"",IF(ISNUMBER(FIND(MID($L36,24,1),"0123456789")),MID($L36,24,1),IF(ISNUMBER(FIND(MID($L36,24,1),"ABCDEFGHIJKLMNOPQRSTUVWXYZ")),CODE(MID($L36,24,1))-55,"#")))</f>
        <v/>
      </c>
      <c r="AL36" s="18" t="str">
        <f aca="false">IF(LEN($L36)&lt;25,"",IF(ISNUMBER(FIND(MID($L36,25,1),"0123456789")),MID($L36,25,1),IF(ISNUMBER(FIND(MID($L36,25,1),"ABCDEFGHIJKLMNOPQRSTUVWXYZ")),CODE(MID($L36,25,1))-55,"#")))</f>
        <v/>
      </c>
      <c r="AM36" s="18" t="str">
        <f aca="false">IF(LEN($L36)&lt;26,"",IF(ISNUMBER(FIND(MID($L36,26,1),"0123456789")),MID($L36,26,1),IF(ISNUMBER(FIND(MID($L36,26,1),"ABCDEFGHIJKLMNOPQRSTUVWXYZ")),CODE(MID($L36,26,1))-55,"#")))</f>
        <v/>
      </c>
      <c r="AN36" s="18" t="str">
        <f aca="false">IF(LEN($L36)&lt;27,"",IF(ISNUMBER(FIND(MID($L36,27,1),"0123456789")),MID($L36,27,1),IF(ISNUMBER(FIND(MID($L36,27,1),"ABCDEFGHIJKLMNOPQRSTUVWXYZ")),CODE(MID($L36,27,1))-55,"#")))</f>
        <v/>
      </c>
      <c r="AO36" s="18" t="str">
        <f aca="false">IF(LEN($L36)&lt;28,"",IF(ISNUMBER(FIND(MID($L36,28,1),"0123456789")),MID($L36,28,1),IF(ISNUMBER(FIND(MID($L36,28,1),"ABCDEFGHIJKLMNOPQRSTUVWXYZ")),CODE(MID($L36,28,1))-55,"#")))</f>
        <v/>
      </c>
      <c r="AP36" s="18" t="str">
        <f aca="false">IF(LEN($L36)&lt;29,"",IF(ISNUMBER(FIND(MID($L36,29,1),"0123456789")),MID($L36,29,1),IF(ISNUMBER(FIND(MID($L36,29,1),"ABCDEFGHIJKLMNOPQRSTUVWXYZ")),CODE(MID($L36,29,1))-55,"#")))</f>
        <v/>
      </c>
      <c r="AQ36" s="18" t="str">
        <f aca="false">IF(LEN($L36)&lt;30,"",IF(ISNUMBER(FIND(MID($L36,30,1),"0123456789")),MID($L36,30,1),IF(ISNUMBER(FIND(MID($L36,30,1),"ABCDEFGHIJKLMNOPQRSTUVWXYZ")),CODE(MID($L36,30,1))-55,"#")))</f>
        <v/>
      </c>
      <c r="AR36" s="18" t="str">
        <f aca="false">IF(LEN($L36)&lt;31,"",IF(ISNUMBER(FIND(MID($L36,31,1),"0123456789")),MID($L36,31,1),IF(ISNUMBER(FIND(MID($L36,31,1),"ABCDEFGHIJKLMNOPQRSTUVWXYZ")),CODE(MID($L36,31,1))-55,"#")))</f>
        <v/>
      </c>
      <c r="AS36" s="18" t="str">
        <f aca="false">IF(LEN($L36)&lt;32,"",IF(ISNUMBER(FIND(MID($L36,32,1),"0123456789")),MID($L36,32,1),IF(ISNUMBER(FIND(MID($L36,32,1),"ABCDEFGHIJKLMNOPQRSTUVWXYZ")),CODE(MID($L36,32,1))-55,"#")))</f>
        <v/>
      </c>
      <c r="AT36" s="18" t="str">
        <f aca="false">IF(LEN($L36)&lt;33,"",IF(ISNUMBER(FIND(MID($L36,33,1),"0123456789")),MID($L36,33,1),IF(ISNUMBER(FIND(MID($L36,33,1),"ABCDEFGHIJKLMNOPQRSTUVWXYZ")),CODE(MID($L36,33,1))-55,"#")))</f>
        <v/>
      </c>
      <c r="AU36" s="18" t="str">
        <f aca="false">IF(LEN($L36)&lt;34,"",IF(ISNUMBER(FIND(MID($L36,34,1),"0123456789")),MID($L36,34,1),IF(ISNUMBER(FIND(MID($L36,34,1),"ABCDEFGHIJKLMNOPQRSTUVWXYZ")),CODE(MID($L36,34,1))-55,"#")))</f>
        <v/>
      </c>
      <c r="AV36" s="18" t="str">
        <f aca="false">_xlfn.CONCAT(N36:AU36)</f>
        <v/>
      </c>
      <c r="AW36" s="18" t="str">
        <f aca="false">IF(OR(AV36="",M36=FALSE()),"",MOD(VALUE(MID(AV36,1,9)),97))</f>
        <v/>
      </c>
      <c r="AX36" s="18" t="str">
        <f aca="false">IF(AW36="","",MOD(VALUE(AW36&amp;MID(AV36,10,7)),97))</f>
        <v/>
      </c>
      <c r="AY36" s="18" t="str">
        <f aca="false">IF(AX36="","",MOD(VALUE(AX36&amp;MID(AV36,17,7)),97))</f>
        <v/>
      </c>
      <c r="AZ36" s="18" t="str">
        <f aca="false">IF(AY36="","",MOD(VALUE(AY36&amp;MID(AV36,24,7)),97))</f>
        <v/>
      </c>
      <c r="BA36" s="18" t="str">
        <f aca="false">IF(AZ36="","",MOD(VALUE(AZ36&amp;MID(AV36,31,7)),97))</f>
        <v/>
      </c>
      <c r="BB36" s="18" t="str">
        <f aca="false">IF(BA36="","",MOD(VALUE(BA36&amp;MID(AV36,38,7)),97))</f>
        <v/>
      </c>
      <c r="BC36" s="18" t="str">
        <f aca="false">IF(BB36="","",MOD(VALUE(BB36&amp;MID(AV36,45,7)),97))</f>
        <v/>
      </c>
      <c r="BD36" s="18" t="str">
        <f aca="false">IF(BC36="","",MOD(VALUE(BC36&amp;MID(AV36,52,7)),97))</f>
        <v/>
      </c>
      <c r="BE36" s="18" t="str">
        <f aca="false">IF(BD36="","",MOD(VALUE(BD36&amp;MID(AV36,59,7)),97))</f>
        <v/>
      </c>
      <c r="BF36" s="18" t="str">
        <f aca="false">IF(BE36="","",MOD(VALUE(BE36&amp;MID(AV36,66,7)),97))</f>
        <v/>
      </c>
    </row>
    <row r="37" customFormat="false" ht="15" hidden="false" customHeight="false" outlineLevel="0" collapsed="false">
      <c r="A37" s="11"/>
      <c r="B37" s="5" t="str">
        <f aca="false">UPPER(SUBSTITUTE(SUBSTITUTE(SUBSTITUTE(TRIM(A37)," ",""),"-",""),CHAR(160),""))</f>
        <v/>
      </c>
      <c r="C37" s="5" t="str">
        <f aca="false">IF(B37="","",LEN(B37))</f>
        <v/>
      </c>
      <c r="D37" s="5" t="str">
        <f aca="false">IF(B37="","",LEFT(B37,2))</f>
        <v/>
      </c>
      <c r="E37" s="5" t="str">
        <f aca="false">IF(B37="","",MID(B37,3,2))</f>
        <v/>
      </c>
      <c r="F37" s="5" t="str">
        <f aca="false">IF(B37="","",MID(B37,5,2))</f>
        <v/>
      </c>
      <c r="G37" s="5" t="str">
        <f aca="false">IF(B37="","",IFERROR(INDEX('رموز البنوك'!$C$5:$C$30,MATCH(F37,'رموز البنوك'!$B$5:$B$30,0)),"رمز غير معروف"))</f>
        <v/>
      </c>
      <c r="H37" s="5" t="str">
        <f aca="false">BF37</f>
        <v/>
      </c>
      <c r="I37" s="5" t="str">
        <f aca="false">IF(OR(H37="",NOT(AND(ISNUMBER(FIND(MID(B37,3,1),"0123456789")),ISNUMBER(FIND(MID(B37,4,1),"0123456789"))))),"",TEXT(98-MOD(H37-VALUE(E37),97),"00"))</f>
        <v/>
      </c>
      <c r="J37" s="4" t="str">
        <f aca="false">IF(B37="","",IF(LEFT(K37,10)="آيبان صحيح","صحيح ✓","غير صحيح ✗"))</f>
        <v/>
      </c>
      <c r="K37" s="10" t="str">
        <f aca="false">IF(B37="","",IF(M37=FALSE(),"يحتوي رموزاً غير مسموحة (المسموح A–Z و 0–9 فقط)",IF(D37&lt;&gt;"SA","رمز الدولة "&amp;D37&amp;" — هذا المدقق للآيبان السعودي SA",IF(C37&lt;&gt;24,"الطول "&amp;C37&amp;" خانة والمطلوب 24",IF(NOT(AND(ISNUMBER(FIND(MID(B37,3,1),"0123456789")),ISNUMBER(FIND(MID(B37,4,1),"0123456789")))),"خانتا التدقيق يجب أن تكونا رقمين",IF(ISERROR(VALUE(MID(B37,5,20))),"رمز البنك ورقم الحساب يجب أن يكونا أرقاماً",IF(H37&lt;&gt;1,"فشل اختبار MOD-97 (الباقي "&amp;H37&amp;" وليس 1) — خطأ في كتابة الرقم؛ خانتا التدقيق الصحيحتان لهذا الحساب "&amp;I37,IF(G37="رمز غير معروف","اجتاز MOD-97 لكن رمز البنك "&amp;F37&amp;" غير مسجل في جدول البنوك","آيبان صحيح — "&amp;G37))))))))</f>
        <v/>
      </c>
      <c r="L37" s="18" t="str">
        <f aca="false">IF(B37="","",MID(B37,5,40)&amp;LEFT(B37,4))</f>
        <v/>
      </c>
      <c r="M37" s="18" t="str">
        <f aca="false">IF(L37="","",NOT(ISNUMBER(FIND("#",AV37))))</f>
        <v/>
      </c>
      <c r="N37" s="18" t="str">
        <f aca="false">IF(LEN($L37)&lt;1,"",IF(ISNUMBER(FIND(MID($L37,1,1),"0123456789")),MID($L37,1,1),IF(ISNUMBER(FIND(MID($L37,1,1),"ABCDEFGHIJKLMNOPQRSTUVWXYZ")),CODE(MID($L37,1,1))-55,"#")))</f>
        <v/>
      </c>
      <c r="O37" s="18" t="str">
        <f aca="false">IF(LEN($L37)&lt;2,"",IF(ISNUMBER(FIND(MID($L37,2,1),"0123456789")),MID($L37,2,1),IF(ISNUMBER(FIND(MID($L37,2,1),"ABCDEFGHIJKLMNOPQRSTUVWXYZ")),CODE(MID($L37,2,1))-55,"#")))</f>
        <v/>
      </c>
      <c r="P37" s="18" t="str">
        <f aca="false">IF(LEN($L37)&lt;3,"",IF(ISNUMBER(FIND(MID($L37,3,1),"0123456789")),MID($L37,3,1),IF(ISNUMBER(FIND(MID($L37,3,1),"ABCDEFGHIJKLMNOPQRSTUVWXYZ")),CODE(MID($L37,3,1))-55,"#")))</f>
        <v/>
      </c>
      <c r="Q37" s="18" t="str">
        <f aca="false">IF(LEN($L37)&lt;4,"",IF(ISNUMBER(FIND(MID($L37,4,1),"0123456789")),MID($L37,4,1),IF(ISNUMBER(FIND(MID($L37,4,1),"ABCDEFGHIJKLMNOPQRSTUVWXYZ")),CODE(MID($L37,4,1))-55,"#")))</f>
        <v/>
      </c>
      <c r="R37" s="18" t="str">
        <f aca="false">IF(LEN($L37)&lt;5,"",IF(ISNUMBER(FIND(MID($L37,5,1),"0123456789")),MID($L37,5,1),IF(ISNUMBER(FIND(MID($L37,5,1),"ABCDEFGHIJKLMNOPQRSTUVWXYZ")),CODE(MID($L37,5,1))-55,"#")))</f>
        <v/>
      </c>
      <c r="S37" s="18" t="str">
        <f aca="false">IF(LEN($L37)&lt;6,"",IF(ISNUMBER(FIND(MID($L37,6,1),"0123456789")),MID($L37,6,1),IF(ISNUMBER(FIND(MID($L37,6,1),"ABCDEFGHIJKLMNOPQRSTUVWXYZ")),CODE(MID($L37,6,1))-55,"#")))</f>
        <v/>
      </c>
      <c r="T37" s="18" t="str">
        <f aca="false">IF(LEN($L37)&lt;7,"",IF(ISNUMBER(FIND(MID($L37,7,1),"0123456789")),MID($L37,7,1),IF(ISNUMBER(FIND(MID($L37,7,1),"ABCDEFGHIJKLMNOPQRSTUVWXYZ")),CODE(MID($L37,7,1))-55,"#")))</f>
        <v/>
      </c>
      <c r="U37" s="18" t="str">
        <f aca="false">IF(LEN($L37)&lt;8,"",IF(ISNUMBER(FIND(MID($L37,8,1),"0123456789")),MID($L37,8,1),IF(ISNUMBER(FIND(MID($L37,8,1),"ABCDEFGHIJKLMNOPQRSTUVWXYZ")),CODE(MID($L37,8,1))-55,"#")))</f>
        <v/>
      </c>
      <c r="V37" s="18" t="str">
        <f aca="false">IF(LEN($L37)&lt;9,"",IF(ISNUMBER(FIND(MID($L37,9,1),"0123456789")),MID($L37,9,1),IF(ISNUMBER(FIND(MID($L37,9,1),"ABCDEFGHIJKLMNOPQRSTUVWXYZ")),CODE(MID($L37,9,1))-55,"#")))</f>
        <v/>
      </c>
      <c r="W37" s="18" t="str">
        <f aca="false">IF(LEN($L37)&lt;10,"",IF(ISNUMBER(FIND(MID($L37,10,1),"0123456789")),MID($L37,10,1),IF(ISNUMBER(FIND(MID($L37,10,1),"ABCDEFGHIJKLMNOPQRSTUVWXYZ")),CODE(MID($L37,10,1))-55,"#")))</f>
        <v/>
      </c>
      <c r="X37" s="18" t="str">
        <f aca="false">IF(LEN($L37)&lt;11,"",IF(ISNUMBER(FIND(MID($L37,11,1),"0123456789")),MID($L37,11,1),IF(ISNUMBER(FIND(MID($L37,11,1),"ABCDEFGHIJKLMNOPQRSTUVWXYZ")),CODE(MID($L37,11,1))-55,"#")))</f>
        <v/>
      </c>
      <c r="Y37" s="18" t="str">
        <f aca="false">IF(LEN($L37)&lt;12,"",IF(ISNUMBER(FIND(MID($L37,12,1),"0123456789")),MID($L37,12,1),IF(ISNUMBER(FIND(MID($L37,12,1),"ABCDEFGHIJKLMNOPQRSTUVWXYZ")),CODE(MID($L37,12,1))-55,"#")))</f>
        <v/>
      </c>
      <c r="Z37" s="18" t="str">
        <f aca="false">IF(LEN($L37)&lt;13,"",IF(ISNUMBER(FIND(MID($L37,13,1),"0123456789")),MID($L37,13,1),IF(ISNUMBER(FIND(MID($L37,13,1),"ABCDEFGHIJKLMNOPQRSTUVWXYZ")),CODE(MID($L37,13,1))-55,"#")))</f>
        <v/>
      </c>
      <c r="AA37" s="18" t="str">
        <f aca="false">IF(LEN($L37)&lt;14,"",IF(ISNUMBER(FIND(MID($L37,14,1),"0123456789")),MID($L37,14,1),IF(ISNUMBER(FIND(MID($L37,14,1),"ABCDEFGHIJKLMNOPQRSTUVWXYZ")),CODE(MID($L37,14,1))-55,"#")))</f>
        <v/>
      </c>
      <c r="AB37" s="18" t="str">
        <f aca="false">IF(LEN($L37)&lt;15,"",IF(ISNUMBER(FIND(MID($L37,15,1),"0123456789")),MID($L37,15,1),IF(ISNUMBER(FIND(MID($L37,15,1),"ABCDEFGHIJKLMNOPQRSTUVWXYZ")),CODE(MID($L37,15,1))-55,"#")))</f>
        <v/>
      </c>
      <c r="AC37" s="18" t="str">
        <f aca="false">IF(LEN($L37)&lt;16,"",IF(ISNUMBER(FIND(MID($L37,16,1),"0123456789")),MID($L37,16,1),IF(ISNUMBER(FIND(MID($L37,16,1),"ABCDEFGHIJKLMNOPQRSTUVWXYZ")),CODE(MID($L37,16,1))-55,"#")))</f>
        <v/>
      </c>
      <c r="AD37" s="18" t="str">
        <f aca="false">IF(LEN($L37)&lt;17,"",IF(ISNUMBER(FIND(MID($L37,17,1),"0123456789")),MID($L37,17,1),IF(ISNUMBER(FIND(MID($L37,17,1),"ABCDEFGHIJKLMNOPQRSTUVWXYZ")),CODE(MID($L37,17,1))-55,"#")))</f>
        <v/>
      </c>
      <c r="AE37" s="18" t="str">
        <f aca="false">IF(LEN($L37)&lt;18,"",IF(ISNUMBER(FIND(MID($L37,18,1),"0123456789")),MID($L37,18,1),IF(ISNUMBER(FIND(MID($L37,18,1),"ABCDEFGHIJKLMNOPQRSTUVWXYZ")),CODE(MID($L37,18,1))-55,"#")))</f>
        <v/>
      </c>
      <c r="AF37" s="18" t="str">
        <f aca="false">IF(LEN($L37)&lt;19,"",IF(ISNUMBER(FIND(MID($L37,19,1),"0123456789")),MID($L37,19,1),IF(ISNUMBER(FIND(MID($L37,19,1),"ABCDEFGHIJKLMNOPQRSTUVWXYZ")),CODE(MID($L37,19,1))-55,"#")))</f>
        <v/>
      </c>
      <c r="AG37" s="18" t="str">
        <f aca="false">IF(LEN($L37)&lt;20,"",IF(ISNUMBER(FIND(MID($L37,20,1),"0123456789")),MID($L37,20,1),IF(ISNUMBER(FIND(MID($L37,20,1),"ABCDEFGHIJKLMNOPQRSTUVWXYZ")),CODE(MID($L37,20,1))-55,"#")))</f>
        <v/>
      </c>
      <c r="AH37" s="18" t="str">
        <f aca="false">IF(LEN($L37)&lt;21,"",IF(ISNUMBER(FIND(MID($L37,21,1),"0123456789")),MID($L37,21,1),IF(ISNUMBER(FIND(MID($L37,21,1),"ABCDEFGHIJKLMNOPQRSTUVWXYZ")),CODE(MID($L37,21,1))-55,"#")))</f>
        <v/>
      </c>
      <c r="AI37" s="18" t="str">
        <f aca="false">IF(LEN($L37)&lt;22,"",IF(ISNUMBER(FIND(MID($L37,22,1),"0123456789")),MID($L37,22,1),IF(ISNUMBER(FIND(MID($L37,22,1),"ABCDEFGHIJKLMNOPQRSTUVWXYZ")),CODE(MID($L37,22,1))-55,"#")))</f>
        <v/>
      </c>
      <c r="AJ37" s="18" t="str">
        <f aca="false">IF(LEN($L37)&lt;23,"",IF(ISNUMBER(FIND(MID($L37,23,1),"0123456789")),MID($L37,23,1),IF(ISNUMBER(FIND(MID($L37,23,1),"ABCDEFGHIJKLMNOPQRSTUVWXYZ")),CODE(MID($L37,23,1))-55,"#")))</f>
        <v/>
      </c>
      <c r="AK37" s="18" t="str">
        <f aca="false">IF(LEN($L37)&lt;24,"",IF(ISNUMBER(FIND(MID($L37,24,1),"0123456789")),MID($L37,24,1),IF(ISNUMBER(FIND(MID($L37,24,1),"ABCDEFGHIJKLMNOPQRSTUVWXYZ")),CODE(MID($L37,24,1))-55,"#")))</f>
        <v/>
      </c>
      <c r="AL37" s="18" t="str">
        <f aca="false">IF(LEN($L37)&lt;25,"",IF(ISNUMBER(FIND(MID($L37,25,1),"0123456789")),MID($L37,25,1),IF(ISNUMBER(FIND(MID($L37,25,1),"ABCDEFGHIJKLMNOPQRSTUVWXYZ")),CODE(MID($L37,25,1))-55,"#")))</f>
        <v/>
      </c>
      <c r="AM37" s="18" t="str">
        <f aca="false">IF(LEN($L37)&lt;26,"",IF(ISNUMBER(FIND(MID($L37,26,1),"0123456789")),MID($L37,26,1),IF(ISNUMBER(FIND(MID($L37,26,1),"ABCDEFGHIJKLMNOPQRSTUVWXYZ")),CODE(MID($L37,26,1))-55,"#")))</f>
        <v/>
      </c>
      <c r="AN37" s="18" t="str">
        <f aca="false">IF(LEN($L37)&lt;27,"",IF(ISNUMBER(FIND(MID($L37,27,1),"0123456789")),MID($L37,27,1),IF(ISNUMBER(FIND(MID($L37,27,1),"ABCDEFGHIJKLMNOPQRSTUVWXYZ")),CODE(MID($L37,27,1))-55,"#")))</f>
        <v/>
      </c>
      <c r="AO37" s="18" t="str">
        <f aca="false">IF(LEN($L37)&lt;28,"",IF(ISNUMBER(FIND(MID($L37,28,1),"0123456789")),MID($L37,28,1),IF(ISNUMBER(FIND(MID($L37,28,1),"ABCDEFGHIJKLMNOPQRSTUVWXYZ")),CODE(MID($L37,28,1))-55,"#")))</f>
        <v/>
      </c>
      <c r="AP37" s="18" t="str">
        <f aca="false">IF(LEN($L37)&lt;29,"",IF(ISNUMBER(FIND(MID($L37,29,1),"0123456789")),MID($L37,29,1),IF(ISNUMBER(FIND(MID($L37,29,1),"ABCDEFGHIJKLMNOPQRSTUVWXYZ")),CODE(MID($L37,29,1))-55,"#")))</f>
        <v/>
      </c>
      <c r="AQ37" s="18" t="str">
        <f aca="false">IF(LEN($L37)&lt;30,"",IF(ISNUMBER(FIND(MID($L37,30,1),"0123456789")),MID($L37,30,1),IF(ISNUMBER(FIND(MID($L37,30,1),"ABCDEFGHIJKLMNOPQRSTUVWXYZ")),CODE(MID($L37,30,1))-55,"#")))</f>
        <v/>
      </c>
      <c r="AR37" s="18" t="str">
        <f aca="false">IF(LEN($L37)&lt;31,"",IF(ISNUMBER(FIND(MID($L37,31,1),"0123456789")),MID($L37,31,1),IF(ISNUMBER(FIND(MID($L37,31,1),"ABCDEFGHIJKLMNOPQRSTUVWXYZ")),CODE(MID($L37,31,1))-55,"#")))</f>
        <v/>
      </c>
      <c r="AS37" s="18" t="str">
        <f aca="false">IF(LEN($L37)&lt;32,"",IF(ISNUMBER(FIND(MID($L37,32,1),"0123456789")),MID($L37,32,1),IF(ISNUMBER(FIND(MID($L37,32,1),"ABCDEFGHIJKLMNOPQRSTUVWXYZ")),CODE(MID($L37,32,1))-55,"#")))</f>
        <v/>
      </c>
      <c r="AT37" s="18" t="str">
        <f aca="false">IF(LEN($L37)&lt;33,"",IF(ISNUMBER(FIND(MID($L37,33,1),"0123456789")),MID($L37,33,1),IF(ISNUMBER(FIND(MID($L37,33,1),"ABCDEFGHIJKLMNOPQRSTUVWXYZ")),CODE(MID($L37,33,1))-55,"#")))</f>
        <v/>
      </c>
      <c r="AU37" s="18" t="str">
        <f aca="false">IF(LEN($L37)&lt;34,"",IF(ISNUMBER(FIND(MID($L37,34,1),"0123456789")),MID($L37,34,1),IF(ISNUMBER(FIND(MID($L37,34,1),"ABCDEFGHIJKLMNOPQRSTUVWXYZ")),CODE(MID($L37,34,1))-55,"#")))</f>
        <v/>
      </c>
      <c r="AV37" s="18" t="str">
        <f aca="false">_xlfn.CONCAT(N37:AU37)</f>
        <v/>
      </c>
      <c r="AW37" s="18" t="str">
        <f aca="false">IF(OR(AV37="",M37=FALSE()),"",MOD(VALUE(MID(AV37,1,9)),97))</f>
        <v/>
      </c>
      <c r="AX37" s="18" t="str">
        <f aca="false">IF(AW37="","",MOD(VALUE(AW37&amp;MID(AV37,10,7)),97))</f>
        <v/>
      </c>
      <c r="AY37" s="18" t="str">
        <f aca="false">IF(AX37="","",MOD(VALUE(AX37&amp;MID(AV37,17,7)),97))</f>
        <v/>
      </c>
      <c r="AZ37" s="18" t="str">
        <f aca="false">IF(AY37="","",MOD(VALUE(AY37&amp;MID(AV37,24,7)),97))</f>
        <v/>
      </c>
      <c r="BA37" s="18" t="str">
        <f aca="false">IF(AZ37="","",MOD(VALUE(AZ37&amp;MID(AV37,31,7)),97))</f>
        <v/>
      </c>
      <c r="BB37" s="18" t="str">
        <f aca="false">IF(BA37="","",MOD(VALUE(BA37&amp;MID(AV37,38,7)),97))</f>
        <v/>
      </c>
      <c r="BC37" s="18" t="str">
        <f aca="false">IF(BB37="","",MOD(VALUE(BB37&amp;MID(AV37,45,7)),97))</f>
        <v/>
      </c>
      <c r="BD37" s="18" t="str">
        <f aca="false">IF(BC37="","",MOD(VALUE(BC37&amp;MID(AV37,52,7)),97))</f>
        <v/>
      </c>
      <c r="BE37" s="18" t="str">
        <f aca="false">IF(BD37="","",MOD(VALUE(BD37&amp;MID(AV37,59,7)),97))</f>
        <v/>
      </c>
      <c r="BF37" s="18" t="str">
        <f aca="false">IF(BE37="","",MOD(VALUE(BE37&amp;MID(AV37,66,7)),97))</f>
        <v/>
      </c>
    </row>
    <row r="38" customFormat="false" ht="15" hidden="false" customHeight="false" outlineLevel="0" collapsed="false">
      <c r="A38" s="11"/>
      <c r="B38" s="5" t="str">
        <f aca="false">UPPER(SUBSTITUTE(SUBSTITUTE(SUBSTITUTE(TRIM(A38)," ",""),"-",""),CHAR(160),""))</f>
        <v/>
      </c>
      <c r="C38" s="5" t="str">
        <f aca="false">IF(B38="","",LEN(B38))</f>
        <v/>
      </c>
      <c r="D38" s="5" t="str">
        <f aca="false">IF(B38="","",LEFT(B38,2))</f>
        <v/>
      </c>
      <c r="E38" s="5" t="str">
        <f aca="false">IF(B38="","",MID(B38,3,2))</f>
        <v/>
      </c>
      <c r="F38" s="5" t="str">
        <f aca="false">IF(B38="","",MID(B38,5,2))</f>
        <v/>
      </c>
      <c r="G38" s="5" t="str">
        <f aca="false">IF(B38="","",IFERROR(INDEX('رموز البنوك'!$C$5:$C$30,MATCH(F38,'رموز البنوك'!$B$5:$B$30,0)),"رمز غير معروف"))</f>
        <v/>
      </c>
      <c r="H38" s="5" t="str">
        <f aca="false">BF38</f>
        <v/>
      </c>
      <c r="I38" s="5" t="str">
        <f aca="false">IF(OR(H38="",NOT(AND(ISNUMBER(FIND(MID(B38,3,1),"0123456789")),ISNUMBER(FIND(MID(B38,4,1),"0123456789"))))),"",TEXT(98-MOD(H38-VALUE(E38),97),"00"))</f>
        <v/>
      </c>
      <c r="J38" s="4" t="str">
        <f aca="false">IF(B38="","",IF(LEFT(K38,10)="آيبان صحيح","صحيح ✓","غير صحيح ✗"))</f>
        <v/>
      </c>
      <c r="K38" s="10" t="str">
        <f aca="false">IF(B38="","",IF(M38=FALSE(),"يحتوي رموزاً غير مسموحة (المسموح A–Z و 0–9 فقط)",IF(D38&lt;&gt;"SA","رمز الدولة "&amp;D38&amp;" — هذا المدقق للآيبان السعودي SA",IF(C38&lt;&gt;24,"الطول "&amp;C38&amp;" خانة والمطلوب 24",IF(NOT(AND(ISNUMBER(FIND(MID(B38,3,1),"0123456789")),ISNUMBER(FIND(MID(B38,4,1),"0123456789")))),"خانتا التدقيق يجب أن تكونا رقمين",IF(ISERROR(VALUE(MID(B38,5,20))),"رمز البنك ورقم الحساب يجب أن يكونا أرقاماً",IF(H38&lt;&gt;1,"فشل اختبار MOD-97 (الباقي "&amp;H38&amp;" وليس 1) — خطأ في كتابة الرقم؛ خانتا التدقيق الصحيحتان لهذا الحساب "&amp;I38,IF(G38="رمز غير معروف","اجتاز MOD-97 لكن رمز البنك "&amp;F38&amp;" غير مسجل في جدول البنوك","آيبان صحيح — "&amp;G38))))))))</f>
        <v/>
      </c>
      <c r="L38" s="18" t="str">
        <f aca="false">IF(B38="","",MID(B38,5,40)&amp;LEFT(B38,4))</f>
        <v/>
      </c>
      <c r="M38" s="18" t="str">
        <f aca="false">IF(L38="","",NOT(ISNUMBER(FIND("#",AV38))))</f>
        <v/>
      </c>
      <c r="N38" s="18" t="str">
        <f aca="false">IF(LEN($L38)&lt;1,"",IF(ISNUMBER(FIND(MID($L38,1,1),"0123456789")),MID($L38,1,1),IF(ISNUMBER(FIND(MID($L38,1,1),"ABCDEFGHIJKLMNOPQRSTUVWXYZ")),CODE(MID($L38,1,1))-55,"#")))</f>
        <v/>
      </c>
      <c r="O38" s="18" t="str">
        <f aca="false">IF(LEN($L38)&lt;2,"",IF(ISNUMBER(FIND(MID($L38,2,1),"0123456789")),MID($L38,2,1),IF(ISNUMBER(FIND(MID($L38,2,1),"ABCDEFGHIJKLMNOPQRSTUVWXYZ")),CODE(MID($L38,2,1))-55,"#")))</f>
        <v/>
      </c>
      <c r="P38" s="18" t="str">
        <f aca="false">IF(LEN($L38)&lt;3,"",IF(ISNUMBER(FIND(MID($L38,3,1),"0123456789")),MID($L38,3,1),IF(ISNUMBER(FIND(MID($L38,3,1),"ABCDEFGHIJKLMNOPQRSTUVWXYZ")),CODE(MID($L38,3,1))-55,"#")))</f>
        <v/>
      </c>
      <c r="Q38" s="18" t="str">
        <f aca="false">IF(LEN($L38)&lt;4,"",IF(ISNUMBER(FIND(MID($L38,4,1),"0123456789")),MID($L38,4,1),IF(ISNUMBER(FIND(MID($L38,4,1),"ABCDEFGHIJKLMNOPQRSTUVWXYZ")),CODE(MID($L38,4,1))-55,"#")))</f>
        <v/>
      </c>
      <c r="R38" s="18" t="str">
        <f aca="false">IF(LEN($L38)&lt;5,"",IF(ISNUMBER(FIND(MID($L38,5,1),"0123456789")),MID($L38,5,1),IF(ISNUMBER(FIND(MID($L38,5,1),"ABCDEFGHIJKLMNOPQRSTUVWXYZ")),CODE(MID($L38,5,1))-55,"#")))</f>
        <v/>
      </c>
      <c r="S38" s="18" t="str">
        <f aca="false">IF(LEN($L38)&lt;6,"",IF(ISNUMBER(FIND(MID($L38,6,1),"0123456789")),MID($L38,6,1),IF(ISNUMBER(FIND(MID($L38,6,1),"ABCDEFGHIJKLMNOPQRSTUVWXYZ")),CODE(MID($L38,6,1))-55,"#")))</f>
        <v/>
      </c>
      <c r="T38" s="18" t="str">
        <f aca="false">IF(LEN($L38)&lt;7,"",IF(ISNUMBER(FIND(MID($L38,7,1),"0123456789")),MID($L38,7,1),IF(ISNUMBER(FIND(MID($L38,7,1),"ABCDEFGHIJKLMNOPQRSTUVWXYZ")),CODE(MID($L38,7,1))-55,"#")))</f>
        <v/>
      </c>
      <c r="U38" s="18" t="str">
        <f aca="false">IF(LEN($L38)&lt;8,"",IF(ISNUMBER(FIND(MID($L38,8,1),"0123456789")),MID($L38,8,1),IF(ISNUMBER(FIND(MID($L38,8,1),"ABCDEFGHIJKLMNOPQRSTUVWXYZ")),CODE(MID($L38,8,1))-55,"#")))</f>
        <v/>
      </c>
      <c r="V38" s="18" t="str">
        <f aca="false">IF(LEN($L38)&lt;9,"",IF(ISNUMBER(FIND(MID($L38,9,1),"0123456789")),MID($L38,9,1),IF(ISNUMBER(FIND(MID($L38,9,1),"ABCDEFGHIJKLMNOPQRSTUVWXYZ")),CODE(MID($L38,9,1))-55,"#")))</f>
        <v/>
      </c>
      <c r="W38" s="18" t="str">
        <f aca="false">IF(LEN($L38)&lt;10,"",IF(ISNUMBER(FIND(MID($L38,10,1),"0123456789")),MID($L38,10,1),IF(ISNUMBER(FIND(MID($L38,10,1),"ABCDEFGHIJKLMNOPQRSTUVWXYZ")),CODE(MID($L38,10,1))-55,"#")))</f>
        <v/>
      </c>
      <c r="X38" s="18" t="str">
        <f aca="false">IF(LEN($L38)&lt;11,"",IF(ISNUMBER(FIND(MID($L38,11,1),"0123456789")),MID($L38,11,1),IF(ISNUMBER(FIND(MID($L38,11,1),"ABCDEFGHIJKLMNOPQRSTUVWXYZ")),CODE(MID($L38,11,1))-55,"#")))</f>
        <v/>
      </c>
      <c r="Y38" s="18" t="str">
        <f aca="false">IF(LEN($L38)&lt;12,"",IF(ISNUMBER(FIND(MID($L38,12,1),"0123456789")),MID($L38,12,1),IF(ISNUMBER(FIND(MID($L38,12,1),"ABCDEFGHIJKLMNOPQRSTUVWXYZ")),CODE(MID($L38,12,1))-55,"#")))</f>
        <v/>
      </c>
      <c r="Z38" s="18" t="str">
        <f aca="false">IF(LEN($L38)&lt;13,"",IF(ISNUMBER(FIND(MID($L38,13,1),"0123456789")),MID($L38,13,1),IF(ISNUMBER(FIND(MID($L38,13,1),"ABCDEFGHIJKLMNOPQRSTUVWXYZ")),CODE(MID($L38,13,1))-55,"#")))</f>
        <v/>
      </c>
      <c r="AA38" s="18" t="str">
        <f aca="false">IF(LEN($L38)&lt;14,"",IF(ISNUMBER(FIND(MID($L38,14,1),"0123456789")),MID($L38,14,1),IF(ISNUMBER(FIND(MID($L38,14,1),"ABCDEFGHIJKLMNOPQRSTUVWXYZ")),CODE(MID($L38,14,1))-55,"#")))</f>
        <v/>
      </c>
      <c r="AB38" s="18" t="str">
        <f aca="false">IF(LEN($L38)&lt;15,"",IF(ISNUMBER(FIND(MID($L38,15,1),"0123456789")),MID($L38,15,1),IF(ISNUMBER(FIND(MID($L38,15,1),"ABCDEFGHIJKLMNOPQRSTUVWXYZ")),CODE(MID($L38,15,1))-55,"#")))</f>
        <v/>
      </c>
      <c r="AC38" s="18" t="str">
        <f aca="false">IF(LEN($L38)&lt;16,"",IF(ISNUMBER(FIND(MID($L38,16,1),"0123456789")),MID($L38,16,1),IF(ISNUMBER(FIND(MID($L38,16,1),"ABCDEFGHIJKLMNOPQRSTUVWXYZ")),CODE(MID($L38,16,1))-55,"#")))</f>
        <v/>
      </c>
      <c r="AD38" s="18" t="str">
        <f aca="false">IF(LEN($L38)&lt;17,"",IF(ISNUMBER(FIND(MID($L38,17,1),"0123456789")),MID($L38,17,1),IF(ISNUMBER(FIND(MID($L38,17,1),"ABCDEFGHIJKLMNOPQRSTUVWXYZ")),CODE(MID($L38,17,1))-55,"#")))</f>
        <v/>
      </c>
      <c r="AE38" s="18" t="str">
        <f aca="false">IF(LEN($L38)&lt;18,"",IF(ISNUMBER(FIND(MID($L38,18,1),"0123456789")),MID($L38,18,1),IF(ISNUMBER(FIND(MID($L38,18,1),"ABCDEFGHIJKLMNOPQRSTUVWXYZ")),CODE(MID($L38,18,1))-55,"#")))</f>
        <v/>
      </c>
      <c r="AF38" s="18" t="str">
        <f aca="false">IF(LEN($L38)&lt;19,"",IF(ISNUMBER(FIND(MID($L38,19,1),"0123456789")),MID($L38,19,1),IF(ISNUMBER(FIND(MID($L38,19,1),"ABCDEFGHIJKLMNOPQRSTUVWXYZ")),CODE(MID($L38,19,1))-55,"#")))</f>
        <v/>
      </c>
      <c r="AG38" s="18" t="str">
        <f aca="false">IF(LEN($L38)&lt;20,"",IF(ISNUMBER(FIND(MID($L38,20,1),"0123456789")),MID($L38,20,1),IF(ISNUMBER(FIND(MID($L38,20,1),"ABCDEFGHIJKLMNOPQRSTUVWXYZ")),CODE(MID($L38,20,1))-55,"#")))</f>
        <v/>
      </c>
      <c r="AH38" s="18" t="str">
        <f aca="false">IF(LEN($L38)&lt;21,"",IF(ISNUMBER(FIND(MID($L38,21,1),"0123456789")),MID($L38,21,1),IF(ISNUMBER(FIND(MID($L38,21,1),"ABCDEFGHIJKLMNOPQRSTUVWXYZ")),CODE(MID($L38,21,1))-55,"#")))</f>
        <v/>
      </c>
      <c r="AI38" s="18" t="str">
        <f aca="false">IF(LEN($L38)&lt;22,"",IF(ISNUMBER(FIND(MID($L38,22,1),"0123456789")),MID($L38,22,1),IF(ISNUMBER(FIND(MID($L38,22,1),"ABCDEFGHIJKLMNOPQRSTUVWXYZ")),CODE(MID($L38,22,1))-55,"#")))</f>
        <v/>
      </c>
      <c r="AJ38" s="18" t="str">
        <f aca="false">IF(LEN($L38)&lt;23,"",IF(ISNUMBER(FIND(MID($L38,23,1),"0123456789")),MID($L38,23,1),IF(ISNUMBER(FIND(MID($L38,23,1),"ABCDEFGHIJKLMNOPQRSTUVWXYZ")),CODE(MID($L38,23,1))-55,"#")))</f>
        <v/>
      </c>
      <c r="AK38" s="18" t="str">
        <f aca="false">IF(LEN($L38)&lt;24,"",IF(ISNUMBER(FIND(MID($L38,24,1),"0123456789")),MID($L38,24,1),IF(ISNUMBER(FIND(MID($L38,24,1),"ABCDEFGHIJKLMNOPQRSTUVWXYZ")),CODE(MID($L38,24,1))-55,"#")))</f>
        <v/>
      </c>
      <c r="AL38" s="18" t="str">
        <f aca="false">IF(LEN($L38)&lt;25,"",IF(ISNUMBER(FIND(MID($L38,25,1),"0123456789")),MID($L38,25,1),IF(ISNUMBER(FIND(MID($L38,25,1),"ABCDEFGHIJKLMNOPQRSTUVWXYZ")),CODE(MID($L38,25,1))-55,"#")))</f>
        <v/>
      </c>
      <c r="AM38" s="18" t="str">
        <f aca="false">IF(LEN($L38)&lt;26,"",IF(ISNUMBER(FIND(MID($L38,26,1),"0123456789")),MID($L38,26,1),IF(ISNUMBER(FIND(MID($L38,26,1),"ABCDEFGHIJKLMNOPQRSTUVWXYZ")),CODE(MID($L38,26,1))-55,"#")))</f>
        <v/>
      </c>
      <c r="AN38" s="18" t="str">
        <f aca="false">IF(LEN($L38)&lt;27,"",IF(ISNUMBER(FIND(MID($L38,27,1),"0123456789")),MID($L38,27,1),IF(ISNUMBER(FIND(MID($L38,27,1),"ABCDEFGHIJKLMNOPQRSTUVWXYZ")),CODE(MID($L38,27,1))-55,"#")))</f>
        <v/>
      </c>
      <c r="AO38" s="18" t="str">
        <f aca="false">IF(LEN($L38)&lt;28,"",IF(ISNUMBER(FIND(MID($L38,28,1),"0123456789")),MID($L38,28,1),IF(ISNUMBER(FIND(MID($L38,28,1),"ABCDEFGHIJKLMNOPQRSTUVWXYZ")),CODE(MID($L38,28,1))-55,"#")))</f>
        <v/>
      </c>
      <c r="AP38" s="18" t="str">
        <f aca="false">IF(LEN($L38)&lt;29,"",IF(ISNUMBER(FIND(MID($L38,29,1),"0123456789")),MID($L38,29,1),IF(ISNUMBER(FIND(MID($L38,29,1),"ABCDEFGHIJKLMNOPQRSTUVWXYZ")),CODE(MID($L38,29,1))-55,"#")))</f>
        <v/>
      </c>
      <c r="AQ38" s="18" t="str">
        <f aca="false">IF(LEN($L38)&lt;30,"",IF(ISNUMBER(FIND(MID($L38,30,1),"0123456789")),MID($L38,30,1),IF(ISNUMBER(FIND(MID($L38,30,1),"ABCDEFGHIJKLMNOPQRSTUVWXYZ")),CODE(MID($L38,30,1))-55,"#")))</f>
        <v/>
      </c>
      <c r="AR38" s="18" t="str">
        <f aca="false">IF(LEN($L38)&lt;31,"",IF(ISNUMBER(FIND(MID($L38,31,1),"0123456789")),MID($L38,31,1),IF(ISNUMBER(FIND(MID($L38,31,1),"ABCDEFGHIJKLMNOPQRSTUVWXYZ")),CODE(MID($L38,31,1))-55,"#")))</f>
        <v/>
      </c>
      <c r="AS38" s="18" t="str">
        <f aca="false">IF(LEN($L38)&lt;32,"",IF(ISNUMBER(FIND(MID($L38,32,1),"0123456789")),MID($L38,32,1),IF(ISNUMBER(FIND(MID($L38,32,1),"ABCDEFGHIJKLMNOPQRSTUVWXYZ")),CODE(MID($L38,32,1))-55,"#")))</f>
        <v/>
      </c>
      <c r="AT38" s="18" t="str">
        <f aca="false">IF(LEN($L38)&lt;33,"",IF(ISNUMBER(FIND(MID($L38,33,1),"0123456789")),MID($L38,33,1),IF(ISNUMBER(FIND(MID($L38,33,1),"ABCDEFGHIJKLMNOPQRSTUVWXYZ")),CODE(MID($L38,33,1))-55,"#")))</f>
        <v/>
      </c>
      <c r="AU38" s="18" t="str">
        <f aca="false">IF(LEN($L38)&lt;34,"",IF(ISNUMBER(FIND(MID($L38,34,1),"0123456789")),MID($L38,34,1),IF(ISNUMBER(FIND(MID($L38,34,1),"ABCDEFGHIJKLMNOPQRSTUVWXYZ")),CODE(MID($L38,34,1))-55,"#")))</f>
        <v/>
      </c>
      <c r="AV38" s="18" t="str">
        <f aca="false">_xlfn.CONCAT(N38:AU38)</f>
        <v/>
      </c>
      <c r="AW38" s="18" t="str">
        <f aca="false">IF(OR(AV38="",M38=FALSE()),"",MOD(VALUE(MID(AV38,1,9)),97))</f>
        <v/>
      </c>
      <c r="AX38" s="18" t="str">
        <f aca="false">IF(AW38="","",MOD(VALUE(AW38&amp;MID(AV38,10,7)),97))</f>
        <v/>
      </c>
      <c r="AY38" s="18" t="str">
        <f aca="false">IF(AX38="","",MOD(VALUE(AX38&amp;MID(AV38,17,7)),97))</f>
        <v/>
      </c>
      <c r="AZ38" s="18" t="str">
        <f aca="false">IF(AY38="","",MOD(VALUE(AY38&amp;MID(AV38,24,7)),97))</f>
        <v/>
      </c>
      <c r="BA38" s="18" t="str">
        <f aca="false">IF(AZ38="","",MOD(VALUE(AZ38&amp;MID(AV38,31,7)),97))</f>
        <v/>
      </c>
      <c r="BB38" s="18" t="str">
        <f aca="false">IF(BA38="","",MOD(VALUE(BA38&amp;MID(AV38,38,7)),97))</f>
        <v/>
      </c>
      <c r="BC38" s="18" t="str">
        <f aca="false">IF(BB38="","",MOD(VALUE(BB38&amp;MID(AV38,45,7)),97))</f>
        <v/>
      </c>
      <c r="BD38" s="18" t="str">
        <f aca="false">IF(BC38="","",MOD(VALUE(BC38&amp;MID(AV38,52,7)),97))</f>
        <v/>
      </c>
      <c r="BE38" s="18" t="str">
        <f aca="false">IF(BD38="","",MOD(VALUE(BD38&amp;MID(AV38,59,7)),97))</f>
        <v/>
      </c>
      <c r="BF38" s="18" t="str">
        <f aca="false">IF(BE38="","",MOD(VALUE(BE38&amp;MID(AV38,66,7)),97))</f>
        <v/>
      </c>
    </row>
    <row r="39" customFormat="false" ht="15" hidden="false" customHeight="false" outlineLevel="0" collapsed="false">
      <c r="A39" s="11"/>
      <c r="B39" s="5" t="str">
        <f aca="false">UPPER(SUBSTITUTE(SUBSTITUTE(SUBSTITUTE(TRIM(A39)," ",""),"-",""),CHAR(160),""))</f>
        <v/>
      </c>
      <c r="C39" s="5" t="str">
        <f aca="false">IF(B39="","",LEN(B39))</f>
        <v/>
      </c>
      <c r="D39" s="5" t="str">
        <f aca="false">IF(B39="","",LEFT(B39,2))</f>
        <v/>
      </c>
      <c r="E39" s="5" t="str">
        <f aca="false">IF(B39="","",MID(B39,3,2))</f>
        <v/>
      </c>
      <c r="F39" s="5" t="str">
        <f aca="false">IF(B39="","",MID(B39,5,2))</f>
        <v/>
      </c>
      <c r="G39" s="5" t="str">
        <f aca="false">IF(B39="","",IFERROR(INDEX('رموز البنوك'!$C$5:$C$30,MATCH(F39,'رموز البنوك'!$B$5:$B$30,0)),"رمز غير معروف"))</f>
        <v/>
      </c>
      <c r="H39" s="5" t="str">
        <f aca="false">BF39</f>
        <v/>
      </c>
      <c r="I39" s="5" t="str">
        <f aca="false">IF(OR(H39="",NOT(AND(ISNUMBER(FIND(MID(B39,3,1),"0123456789")),ISNUMBER(FIND(MID(B39,4,1),"0123456789"))))),"",TEXT(98-MOD(H39-VALUE(E39),97),"00"))</f>
        <v/>
      </c>
      <c r="J39" s="4" t="str">
        <f aca="false">IF(B39="","",IF(LEFT(K39,10)="آيبان صحيح","صحيح ✓","غير صحيح ✗"))</f>
        <v/>
      </c>
      <c r="K39" s="10" t="str">
        <f aca="false">IF(B39="","",IF(M39=FALSE(),"يحتوي رموزاً غير مسموحة (المسموح A–Z و 0–9 فقط)",IF(D39&lt;&gt;"SA","رمز الدولة "&amp;D39&amp;" — هذا المدقق للآيبان السعودي SA",IF(C39&lt;&gt;24,"الطول "&amp;C39&amp;" خانة والمطلوب 24",IF(NOT(AND(ISNUMBER(FIND(MID(B39,3,1),"0123456789")),ISNUMBER(FIND(MID(B39,4,1),"0123456789")))),"خانتا التدقيق يجب أن تكونا رقمين",IF(ISERROR(VALUE(MID(B39,5,20))),"رمز البنك ورقم الحساب يجب أن يكونا أرقاماً",IF(H39&lt;&gt;1,"فشل اختبار MOD-97 (الباقي "&amp;H39&amp;" وليس 1) — خطأ في كتابة الرقم؛ خانتا التدقيق الصحيحتان لهذا الحساب "&amp;I39,IF(G39="رمز غير معروف","اجتاز MOD-97 لكن رمز البنك "&amp;F39&amp;" غير مسجل في جدول البنوك","آيبان صحيح — "&amp;G39))))))))</f>
        <v/>
      </c>
      <c r="L39" s="18" t="str">
        <f aca="false">IF(B39="","",MID(B39,5,40)&amp;LEFT(B39,4))</f>
        <v/>
      </c>
      <c r="M39" s="18" t="str">
        <f aca="false">IF(L39="","",NOT(ISNUMBER(FIND("#",AV39))))</f>
        <v/>
      </c>
      <c r="N39" s="18" t="str">
        <f aca="false">IF(LEN($L39)&lt;1,"",IF(ISNUMBER(FIND(MID($L39,1,1),"0123456789")),MID($L39,1,1),IF(ISNUMBER(FIND(MID($L39,1,1),"ABCDEFGHIJKLMNOPQRSTUVWXYZ")),CODE(MID($L39,1,1))-55,"#")))</f>
        <v/>
      </c>
      <c r="O39" s="18" t="str">
        <f aca="false">IF(LEN($L39)&lt;2,"",IF(ISNUMBER(FIND(MID($L39,2,1),"0123456789")),MID($L39,2,1),IF(ISNUMBER(FIND(MID($L39,2,1),"ABCDEFGHIJKLMNOPQRSTUVWXYZ")),CODE(MID($L39,2,1))-55,"#")))</f>
        <v/>
      </c>
      <c r="P39" s="18" t="str">
        <f aca="false">IF(LEN($L39)&lt;3,"",IF(ISNUMBER(FIND(MID($L39,3,1),"0123456789")),MID($L39,3,1),IF(ISNUMBER(FIND(MID($L39,3,1),"ABCDEFGHIJKLMNOPQRSTUVWXYZ")),CODE(MID($L39,3,1))-55,"#")))</f>
        <v/>
      </c>
      <c r="Q39" s="18" t="str">
        <f aca="false">IF(LEN($L39)&lt;4,"",IF(ISNUMBER(FIND(MID($L39,4,1),"0123456789")),MID($L39,4,1),IF(ISNUMBER(FIND(MID($L39,4,1),"ABCDEFGHIJKLMNOPQRSTUVWXYZ")),CODE(MID($L39,4,1))-55,"#")))</f>
        <v/>
      </c>
      <c r="R39" s="18" t="str">
        <f aca="false">IF(LEN($L39)&lt;5,"",IF(ISNUMBER(FIND(MID($L39,5,1),"0123456789")),MID($L39,5,1),IF(ISNUMBER(FIND(MID($L39,5,1),"ABCDEFGHIJKLMNOPQRSTUVWXYZ")),CODE(MID($L39,5,1))-55,"#")))</f>
        <v/>
      </c>
      <c r="S39" s="18" t="str">
        <f aca="false">IF(LEN($L39)&lt;6,"",IF(ISNUMBER(FIND(MID($L39,6,1),"0123456789")),MID($L39,6,1),IF(ISNUMBER(FIND(MID($L39,6,1),"ABCDEFGHIJKLMNOPQRSTUVWXYZ")),CODE(MID($L39,6,1))-55,"#")))</f>
        <v/>
      </c>
      <c r="T39" s="18" t="str">
        <f aca="false">IF(LEN($L39)&lt;7,"",IF(ISNUMBER(FIND(MID($L39,7,1),"0123456789")),MID($L39,7,1),IF(ISNUMBER(FIND(MID($L39,7,1),"ABCDEFGHIJKLMNOPQRSTUVWXYZ")),CODE(MID($L39,7,1))-55,"#")))</f>
        <v/>
      </c>
      <c r="U39" s="18" t="str">
        <f aca="false">IF(LEN($L39)&lt;8,"",IF(ISNUMBER(FIND(MID($L39,8,1),"0123456789")),MID($L39,8,1),IF(ISNUMBER(FIND(MID($L39,8,1),"ABCDEFGHIJKLMNOPQRSTUVWXYZ")),CODE(MID($L39,8,1))-55,"#")))</f>
        <v/>
      </c>
      <c r="V39" s="18" t="str">
        <f aca="false">IF(LEN($L39)&lt;9,"",IF(ISNUMBER(FIND(MID($L39,9,1),"0123456789")),MID($L39,9,1),IF(ISNUMBER(FIND(MID($L39,9,1),"ABCDEFGHIJKLMNOPQRSTUVWXYZ")),CODE(MID($L39,9,1))-55,"#")))</f>
        <v/>
      </c>
      <c r="W39" s="18" t="str">
        <f aca="false">IF(LEN($L39)&lt;10,"",IF(ISNUMBER(FIND(MID($L39,10,1),"0123456789")),MID($L39,10,1),IF(ISNUMBER(FIND(MID($L39,10,1),"ABCDEFGHIJKLMNOPQRSTUVWXYZ")),CODE(MID($L39,10,1))-55,"#")))</f>
        <v/>
      </c>
      <c r="X39" s="18" t="str">
        <f aca="false">IF(LEN($L39)&lt;11,"",IF(ISNUMBER(FIND(MID($L39,11,1),"0123456789")),MID($L39,11,1),IF(ISNUMBER(FIND(MID($L39,11,1),"ABCDEFGHIJKLMNOPQRSTUVWXYZ")),CODE(MID($L39,11,1))-55,"#")))</f>
        <v/>
      </c>
      <c r="Y39" s="18" t="str">
        <f aca="false">IF(LEN($L39)&lt;12,"",IF(ISNUMBER(FIND(MID($L39,12,1),"0123456789")),MID($L39,12,1),IF(ISNUMBER(FIND(MID($L39,12,1),"ABCDEFGHIJKLMNOPQRSTUVWXYZ")),CODE(MID($L39,12,1))-55,"#")))</f>
        <v/>
      </c>
      <c r="Z39" s="18" t="str">
        <f aca="false">IF(LEN($L39)&lt;13,"",IF(ISNUMBER(FIND(MID($L39,13,1),"0123456789")),MID($L39,13,1),IF(ISNUMBER(FIND(MID($L39,13,1),"ABCDEFGHIJKLMNOPQRSTUVWXYZ")),CODE(MID($L39,13,1))-55,"#")))</f>
        <v/>
      </c>
      <c r="AA39" s="18" t="str">
        <f aca="false">IF(LEN($L39)&lt;14,"",IF(ISNUMBER(FIND(MID($L39,14,1),"0123456789")),MID($L39,14,1),IF(ISNUMBER(FIND(MID($L39,14,1),"ABCDEFGHIJKLMNOPQRSTUVWXYZ")),CODE(MID($L39,14,1))-55,"#")))</f>
        <v/>
      </c>
      <c r="AB39" s="18" t="str">
        <f aca="false">IF(LEN($L39)&lt;15,"",IF(ISNUMBER(FIND(MID($L39,15,1),"0123456789")),MID($L39,15,1),IF(ISNUMBER(FIND(MID($L39,15,1),"ABCDEFGHIJKLMNOPQRSTUVWXYZ")),CODE(MID($L39,15,1))-55,"#")))</f>
        <v/>
      </c>
      <c r="AC39" s="18" t="str">
        <f aca="false">IF(LEN($L39)&lt;16,"",IF(ISNUMBER(FIND(MID($L39,16,1),"0123456789")),MID($L39,16,1),IF(ISNUMBER(FIND(MID($L39,16,1),"ABCDEFGHIJKLMNOPQRSTUVWXYZ")),CODE(MID($L39,16,1))-55,"#")))</f>
        <v/>
      </c>
      <c r="AD39" s="18" t="str">
        <f aca="false">IF(LEN($L39)&lt;17,"",IF(ISNUMBER(FIND(MID($L39,17,1),"0123456789")),MID($L39,17,1),IF(ISNUMBER(FIND(MID($L39,17,1),"ABCDEFGHIJKLMNOPQRSTUVWXYZ")),CODE(MID($L39,17,1))-55,"#")))</f>
        <v/>
      </c>
      <c r="AE39" s="18" t="str">
        <f aca="false">IF(LEN($L39)&lt;18,"",IF(ISNUMBER(FIND(MID($L39,18,1),"0123456789")),MID($L39,18,1),IF(ISNUMBER(FIND(MID($L39,18,1),"ABCDEFGHIJKLMNOPQRSTUVWXYZ")),CODE(MID($L39,18,1))-55,"#")))</f>
        <v/>
      </c>
      <c r="AF39" s="18" t="str">
        <f aca="false">IF(LEN($L39)&lt;19,"",IF(ISNUMBER(FIND(MID($L39,19,1),"0123456789")),MID($L39,19,1),IF(ISNUMBER(FIND(MID($L39,19,1),"ABCDEFGHIJKLMNOPQRSTUVWXYZ")),CODE(MID($L39,19,1))-55,"#")))</f>
        <v/>
      </c>
      <c r="AG39" s="18" t="str">
        <f aca="false">IF(LEN($L39)&lt;20,"",IF(ISNUMBER(FIND(MID($L39,20,1),"0123456789")),MID($L39,20,1),IF(ISNUMBER(FIND(MID($L39,20,1),"ABCDEFGHIJKLMNOPQRSTUVWXYZ")),CODE(MID($L39,20,1))-55,"#")))</f>
        <v/>
      </c>
      <c r="AH39" s="18" t="str">
        <f aca="false">IF(LEN($L39)&lt;21,"",IF(ISNUMBER(FIND(MID($L39,21,1),"0123456789")),MID($L39,21,1),IF(ISNUMBER(FIND(MID($L39,21,1),"ABCDEFGHIJKLMNOPQRSTUVWXYZ")),CODE(MID($L39,21,1))-55,"#")))</f>
        <v/>
      </c>
      <c r="AI39" s="18" t="str">
        <f aca="false">IF(LEN($L39)&lt;22,"",IF(ISNUMBER(FIND(MID($L39,22,1),"0123456789")),MID($L39,22,1),IF(ISNUMBER(FIND(MID($L39,22,1),"ABCDEFGHIJKLMNOPQRSTUVWXYZ")),CODE(MID($L39,22,1))-55,"#")))</f>
        <v/>
      </c>
      <c r="AJ39" s="18" t="str">
        <f aca="false">IF(LEN($L39)&lt;23,"",IF(ISNUMBER(FIND(MID($L39,23,1),"0123456789")),MID($L39,23,1),IF(ISNUMBER(FIND(MID($L39,23,1),"ABCDEFGHIJKLMNOPQRSTUVWXYZ")),CODE(MID($L39,23,1))-55,"#")))</f>
        <v/>
      </c>
      <c r="AK39" s="18" t="str">
        <f aca="false">IF(LEN($L39)&lt;24,"",IF(ISNUMBER(FIND(MID($L39,24,1),"0123456789")),MID($L39,24,1),IF(ISNUMBER(FIND(MID($L39,24,1),"ABCDEFGHIJKLMNOPQRSTUVWXYZ")),CODE(MID($L39,24,1))-55,"#")))</f>
        <v/>
      </c>
      <c r="AL39" s="18" t="str">
        <f aca="false">IF(LEN($L39)&lt;25,"",IF(ISNUMBER(FIND(MID($L39,25,1),"0123456789")),MID($L39,25,1),IF(ISNUMBER(FIND(MID($L39,25,1),"ABCDEFGHIJKLMNOPQRSTUVWXYZ")),CODE(MID($L39,25,1))-55,"#")))</f>
        <v/>
      </c>
      <c r="AM39" s="18" t="str">
        <f aca="false">IF(LEN($L39)&lt;26,"",IF(ISNUMBER(FIND(MID($L39,26,1),"0123456789")),MID($L39,26,1),IF(ISNUMBER(FIND(MID($L39,26,1),"ABCDEFGHIJKLMNOPQRSTUVWXYZ")),CODE(MID($L39,26,1))-55,"#")))</f>
        <v/>
      </c>
      <c r="AN39" s="18" t="str">
        <f aca="false">IF(LEN($L39)&lt;27,"",IF(ISNUMBER(FIND(MID($L39,27,1),"0123456789")),MID($L39,27,1),IF(ISNUMBER(FIND(MID($L39,27,1),"ABCDEFGHIJKLMNOPQRSTUVWXYZ")),CODE(MID($L39,27,1))-55,"#")))</f>
        <v/>
      </c>
      <c r="AO39" s="18" t="str">
        <f aca="false">IF(LEN($L39)&lt;28,"",IF(ISNUMBER(FIND(MID($L39,28,1),"0123456789")),MID($L39,28,1),IF(ISNUMBER(FIND(MID($L39,28,1),"ABCDEFGHIJKLMNOPQRSTUVWXYZ")),CODE(MID($L39,28,1))-55,"#")))</f>
        <v/>
      </c>
      <c r="AP39" s="18" t="str">
        <f aca="false">IF(LEN($L39)&lt;29,"",IF(ISNUMBER(FIND(MID($L39,29,1),"0123456789")),MID($L39,29,1),IF(ISNUMBER(FIND(MID($L39,29,1),"ABCDEFGHIJKLMNOPQRSTUVWXYZ")),CODE(MID($L39,29,1))-55,"#")))</f>
        <v/>
      </c>
      <c r="AQ39" s="18" t="str">
        <f aca="false">IF(LEN($L39)&lt;30,"",IF(ISNUMBER(FIND(MID($L39,30,1),"0123456789")),MID($L39,30,1),IF(ISNUMBER(FIND(MID($L39,30,1),"ABCDEFGHIJKLMNOPQRSTUVWXYZ")),CODE(MID($L39,30,1))-55,"#")))</f>
        <v/>
      </c>
      <c r="AR39" s="18" t="str">
        <f aca="false">IF(LEN($L39)&lt;31,"",IF(ISNUMBER(FIND(MID($L39,31,1),"0123456789")),MID($L39,31,1),IF(ISNUMBER(FIND(MID($L39,31,1),"ABCDEFGHIJKLMNOPQRSTUVWXYZ")),CODE(MID($L39,31,1))-55,"#")))</f>
        <v/>
      </c>
      <c r="AS39" s="18" t="str">
        <f aca="false">IF(LEN($L39)&lt;32,"",IF(ISNUMBER(FIND(MID($L39,32,1),"0123456789")),MID($L39,32,1),IF(ISNUMBER(FIND(MID($L39,32,1),"ABCDEFGHIJKLMNOPQRSTUVWXYZ")),CODE(MID($L39,32,1))-55,"#")))</f>
        <v/>
      </c>
      <c r="AT39" s="18" t="str">
        <f aca="false">IF(LEN($L39)&lt;33,"",IF(ISNUMBER(FIND(MID($L39,33,1),"0123456789")),MID($L39,33,1),IF(ISNUMBER(FIND(MID($L39,33,1),"ABCDEFGHIJKLMNOPQRSTUVWXYZ")),CODE(MID($L39,33,1))-55,"#")))</f>
        <v/>
      </c>
      <c r="AU39" s="18" t="str">
        <f aca="false">IF(LEN($L39)&lt;34,"",IF(ISNUMBER(FIND(MID($L39,34,1),"0123456789")),MID($L39,34,1),IF(ISNUMBER(FIND(MID($L39,34,1),"ABCDEFGHIJKLMNOPQRSTUVWXYZ")),CODE(MID($L39,34,1))-55,"#")))</f>
        <v/>
      </c>
      <c r="AV39" s="18" t="str">
        <f aca="false">_xlfn.CONCAT(N39:AU39)</f>
        <v/>
      </c>
      <c r="AW39" s="18" t="str">
        <f aca="false">IF(OR(AV39="",M39=FALSE()),"",MOD(VALUE(MID(AV39,1,9)),97))</f>
        <v/>
      </c>
      <c r="AX39" s="18" t="str">
        <f aca="false">IF(AW39="","",MOD(VALUE(AW39&amp;MID(AV39,10,7)),97))</f>
        <v/>
      </c>
      <c r="AY39" s="18" t="str">
        <f aca="false">IF(AX39="","",MOD(VALUE(AX39&amp;MID(AV39,17,7)),97))</f>
        <v/>
      </c>
      <c r="AZ39" s="18" t="str">
        <f aca="false">IF(AY39="","",MOD(VALUE(AY39&amp;MID(AV39,24,7)),97))</f>
        <v/>
      </c>
      <c r="BA39" s="18" t="str">
        <f aca="false">IF(AZ39="","",MOD(VALUE(AZ39&amp;MID(AV39,31,7)),97))</f>
        <v/>
      </c>
      <c r="BB39" s="18" t="str">
        <f aca="false">IF(BA39="","",MOD(VALUE(BA39&amp;MID(AV39,38,7)),97))</f>
        <v/>
      </c>
      <c r="BC39" s="18" t="str">
        <f aca="false">IF(BB39="","",MOD(VALUE(BB39&amp;MID(AV39,45,7)),97))</f>
        <v/>
      </c>
      <c r="BD39" s="18" t="str">
        <f aca="false">IF(BC39="","",MOD(VALUE(BC39&amp;MID(AV39,52,7)),97))</f>
        <v/>
      </c>
      <c r="BE39" s="18" t="str">
        <f aca="false">IF(BD39="","",MOD(VALUE(BD39&amp;MID(AV39,59,7)),97))</f>
        <v/>
      </c>
      <c r="BF39" s="18" t="str">
        <f aca="false">IF(BE39="","",MOD(VALUE(BE39&amp;MID(AV39,66,7)),97))</f>
        <v/>
      </c>
    </row>
    <row r="40" customFormat="false" ht="15" hidden="false" customHeight="false" outlineLevel="0" collapsed="false">
      <c r="A40" s="11"/>
      <c r="B40" s="5" t="str">
        <f aca="false">UPPER(SUBSTITUTE(SUBSTITUTE(SUBSTITUTE(TRIM(A40)," ",""),"-",""),CHAR(160),""))</f>
        <v/>
      </c>
      <c r="C40" s="5" t="str">
        <f aca="false">IF(B40="","",LEN(B40))</f>
        <v/>
      </c>
      <c r="D40" s="5" t="str">
        <f aca="false">IF(B40="","",LEFT(B40,2))</f>
        <v/>
      </c>
      <c r="E40" s="5" t="str">
        <f aca="false">IF(B40="","",MID(B40,3,2))</f>
        <v/>
      </c>
      <c r="F40" s="5" t="str">
        <f aca="false">IF(B40="","",MID(B40,5,2))</f>
        <v/>
      </c>
      <c r="G40" s="5" t="str">
        <f aca="false">IF(B40="","",IFERROR(INDEX('رموز البنوك'!$C$5:$C$30,MATCH(F40,'رموز البنوك'!$B$5:$B$30,0)),"رمز غير معروف"))</f>
        <v/>
      </c>
      <c r="H40" s="5" t="str">
        <f aca="false">BF40</f>
        <v/>
      </c>
      <c r="I40" s="5" t="str">
        <f aca="false">IF(OR(H40="",NOT(AND(ISNUMBER(FIND(MID(B40,3,1),"0123456789")),ISNUMBER(FIND(MID(B40,4,1),"0123456789"))))),"",TEXT(98-MOD(H40-VALUE(E40),97),"00"))</f>
        <v/>
      </c>
      <c r="J40" s="4" t="str">
        <f aca="false">IF(B40="","",IF(LEFT(K40,10)="آيبان صحيح","صحيح ✓","غير صحيح ✗"))</f>
        <v/>
      </c>
      <c r="K40" s="10" t="str">
        <f aca="false">IF(B40="","",IF(M40=FALSE(),"يحتوي رموزاً غير مسموحة (المسموح A–Z و 0–9 فقط)",IF(D40&lt;&gt;"SA","رمز الدولة "&amp;D40&amp;" — هذا المدقق للآيبان السعودي SA",IF(C40&lt;&gt;24,"الطول "&amp;C40&amp;" خانة والمطلوب 24",IF(NOT(AND(ISNUMBER(FIND(MID(B40,3,1),"0123456789")),ISNUMBER(FIND(MID(B40,4,1),"0123456789")))),"خانتا التدقيق يجب أن تكونا رقمين",IF(ISERROR(VALUE(MID(B40,5,20))),"رمز البنك ورقم الحساب يجب أن يكونا أرقاماً",IF(H40&lt;&gt;1,"فشل اختبار MOD-97 (الباقي "&amp;H40&amp;" وليس 1) — خطأ في كتابة الرقم؛ خانتا التدقيق الصحيحتان لهذا الحساب "&amp;I40,IF(G40="رمز غير معروف","اجتاز MOD-97 لكن رمز البنك "&amp;F40&amp;" غير مسجل في جدول البنوك","آيبان صحيح — "&amp;G40))))))))</f>
        <v/>
      </c>
      <c r="L40" s="18" t="str">
        <f aca="false">IF(B40="","",MID(B40,5,40)&amp;LEFT(B40,4))</f>
        <v/>
      </c>
      <c r="M40" s="18" t="str">
        <f aca="false">IF(L40="","",NOT(ISNUMBER(FIND("#",AV40))))</f>
        <v/>
      </c>
      <c r="N40" s="18" t="str">
        <f aca="false">IF(LEN($L40)&lt;1,"",IF(ISNUMBER(FIND(MID($L40,1,1),"0123456789")),MID($L40,1,1),IF(ISNUMBER(FIND(MID($L40,1,1),"ABCDEFGHIJKLMNOPQRSTUVWXYZ")),CODE(MID($L40,1,1))-55,"#")))</f>
        <v/>
      </c>
      <c r="O40" s="18" t="str">
        <f aca="false">IF(LEN($L40)&lt;2,"",IF(ISNUMBER(FIND(MID($L40,2,1),"0123456789")),MID($L40,2,1),IF(ISNUMBER(FIND(MID($L40,2,1),"ABCDEFGHIJKLMNOPQRSTUVWXYZ")),CODE(MID($L40,2,1))-55,"#")))</f>
        <v/>
      </c>
      <c r="P40" s="18" t="str">
        <f aca="false">IF(LEN($L40)&lt;3,"",IF(ISNUMBER(FIND(MID($L40,3,1),"0123456789")),MID($L40,3,1),IF(ISNUMBER(FIND(MID($L40,3,1),"ABCDEFGHIJKLMNOPQRSTUVWXYZ")),CODE(MID($L40,3,1))-55,"#")))</f>
        <v/>
      </c>
      <c r="Q40" s="18" t="str">
        <f aca="false">IF(LEN($L40)&lt;4,"",IF(ISNUMBER(FIND(MID($L40,4,1),"0123456789")),MID($L40,4,1),IF(ISNUMBER(FIND(MID($L40,4,1),"ABCDEFGHIJKLMNOPQRSTUVWXYZ")),CODE(MID($L40,4,1))-55,"#")))</f>
        <v/>
      </c>
      <c r="R40" s="18" t="str">
        <f aca="false">IF(LEN($L40)&lt;5,"",IF(ISNUMBER(FIND(MID($L40,5,1),"0123456789")),MID($L40,5,1),IF(ISNUMBER(FIND(MID($L40,5,1),"ABCDEFGHIJKLMNOPQRSTUVWXYZ")),CODE(MID($L40,5,1))-55,"#")))</f>
        <v/>
      </c>
      <c r="S40" s="18" t="str">
        <f aca="false">IF(LEN($L40)&lt;6,"",IF(ISNUMBER(FIND(MID($L40,6,1),"0123456789")),MID($L40,6,1),IF(ISNUMBER(FIND(MID($L40,6,1),"ABCDEFGHIJKLMNOPQRSTUVWXYZ")),CODE(MID($L40,6,1))-55,"#")))</f>
        <v/>
      </c>
      <c r="T40" s="18" t="str">
        <f aca="false">IF(LEN($L40)&lt;7,"",IF(ISNUMBER(FIND(MID($L40,7,1),"0123456789")),MID($L40,7,1),IF(ISNUMBER(FIND(MID($L40,7,1),"ABCDEFGHIJKLMNOPQRSTUVWXYZ")),CODE(MID($L40,7,1))-55,"#")))</f>
        <v/>
      </c>
      <c r="U40" s="18" t="str">
        <f aca="false">IF(LEN($L40)&lt;8,"",IF(ISNUMBER(FIND(MID($L40,8,1),"0123456789")),MID($L40,8,1),IF(ISNUMBER(FIND(MID($L40,8,1),"ABCDEFGHIJKLMNOPQRSTUVWXYZ")),CODE(MID($L40,8,1))-55,"#")))</f>
        <v/>
      </c>
      <c r="V40" s="18" t="str">
        <f aca="false">IF(LEN($L40)&lt;9,"",IF(ISNUMBER(FIND(MID($L40,9,1),"0123456789")),MID($L40,9,1),IF(ISNUMBER(FIND(MID($L40,9,1),"ABCDEFGHIJKLMNOPQRSTUVWXYZ")),CODE(MID($L40,9,1))-55,"#")))</f>
        <v/>
      </c>
      <c r="W40" s="18" t="str">
        <f aca="false">IF(LEN($L40)&lt;10,"",IF(ISNUMBER(FIND(MID($L40,10,1),"0123456789")),MID($L40,10,1),IF(ISNUMBER(FIND(MID($L40,10,1),"ABCDEFGHIJKLMNOPQRSTUVWXYZ")),CODE(MID($L40,10,1))-55,"#")))</f>
        <v/>
      </c>
      <c r="X40" s="18" t="str">
        <f aca="false">IF(LEN($L40)&lt;11,"",IF(ISNUMBER(FIND(MID($L40,11,1),"0123456789")),MID($L40,11,1),IF(ISNUMBER(FIND(MID($L40,11,1),"ABCDEFGHIJKLMNOPQRSTUVWXYZ")),CODE(MID($L40,11,1))-55,"#")))</f>
        <v/>
      </c>
      <c r="Y40" s="18" t="str">
        <f aca="false">IF(LEN($L40)&lt;12,"",IF(ISNUMBER(FIND(MID($L40,12,1),"0123456789")),MID($L40,12,1),IF(ISNUMBER(FIND(MID($L40,12,1),"ABCDEFGHIJKLMNOPQRSTUVWXYZ")),CODE(MID($L40,12,1))-55,"#")))</f>
        <v/>
      </c>
      <c r="Z40" s="18" t="str">
        <f aca="false">IF(LEN($L40)&lt;13,"",IF(ISNUMBER(FIND(MID($L40,13,1),"0123456789")),MID($L40,13,1),IF(ISNUMBER(FIND(MID($L40,13,1),"ABCDEFGHIJKLMNOPQRSTUVWXYZ")),CODE(MID($L40,13,1))-55,"#")))</f>
        <v/>
      </c>
      <c r="AA40" s="18" t="str">
        <f aca="false">IF(LEN($L40)&lt;14,"",IF(ISNUMBER(FIND(MID($L40,14,1),"0123456789")),MID($L40,14,1),IF(ISNUMBER(FIND(MID($L40,14,1),"ABCDEFGHIJKLMNOPQRSTUVWXYZ")),CODE(MID($L40,14,1))-55,"#")))</f>
        <v/>
      </c>
      <c r="AB40" s="18" t="str">
        <f aca="false">IF(LEN($L40)&lt;15,"",IF(ISNUMBER(FIND(MID($L40,15,1),"0123456789")),MID($L40,15,1),IF(ISNUMBER(FIND(MID($L40,15,1),"ABCDEFGHIJKLMNOPQRSTUVWXYZ")),CODE(MID($L40,15,1))-55,"#")))</f>
        <v/>
      </c>
      <c r="AC40" s="18" t="str">
        <f aca="false">IF(LEN($L40)&lt;16,"",IF(ISNUMBER(FIND(MID($L40,16,1),"0123456789")),MID($L40,16,1),IF(ISNUMBER(FIND(MID($L40,16,1),"ABCDEFGHIJKLMNOPQRSTUVWXYZ")),CODE(MID($L40,16,1))-55,"#")))</f>
        <v/>
      </c>
      <c r="AD40" s="18" t="str">
        <f aca="false">IF(LEN($L40)&lt;17,"",IF(ISNUMBER(FIND(MID($L40,17,1),"0123456789")),MID($L40,17,1),IF(ISNUMBER(FIND(MID($L40,17,1),"ABCDEFGHIJKLMNOPQRSTUVWXYZ")),CODE(MID($L40,17,1))-55,"#")))</f>
        <v/>
      </c>
      <c r="AE40" s="18" t="str">
        <f aca="false">IF(LEN($L40)&lt;18,"",IF(ISNUMBER(FIND(MID($L40,18,1),"0123456789")),MID($L40,18,1),IF(ISNUMBER(FIND(MID($L40,18,1),"ABCDEFGHIJKLMNOPQRSTUVWXYZ")),CODE(MID($L40,18,1))-55,"#")))</f>
        <v/>
      </c>
      <c r="AF40" s="18" t="str">
        <f aca="false">IF(LEN($L40)&lt;19,"",IF(ISNUMBER(FIND(MID($L40,19,1),"0123456789")),MID($L40,19,1),IF(ISNUMBER(FIND(MID($L40,19,1),"ABCDEFGHIJKLMNOPQRSTUVWXYZ")),CODE(MID($L40,19,1))-55,"#")))</f>
        <v/>
      </c>
      <c r="AG40" s="18" t="str">
        <f aca="false">IF(LEN($L40)&lt;20,"",IF(ISNUMBER(FIND(MID($L40,20,1),"0123456789")),MID($L40,20,1),IF(ISNUMBER(FIND(MID($L40,20,1),"ABCDEFGHIJKLMNOPQRSTUVWXYZ")),CODE(MID($L40,20,1))-55,"#")))</f>
        <v/>
      </c>
      <c r="AH40" s="18" t="str">
        <f aca="false">IF(LEN($L40)&lt;21,"",IF(ISNUMBER(FIND(MID($L40,21,1),"0123456789")),MID($L40,21,1),IF(ISNUMBER(FIND(MID($L40,21,1),"ABCDEFGHIJKLMNOPQRSTUVWXYZ")),CODE(MID($L40,21,1))-55,"#")))</f>
        <v/>
      </c>
      <c r="AI40" s="18" t="str">
        <f aca="false">IF(LEN($L40)&lt;22,"",IF(ISNUMBER(FIND(MID($L40,22,1),"0123456789")),MID($L40,22,1),IF(ISNUMBER(FIND(MID($L40,22,1),"ABCDEFGHIJKLMNOPQRSTUVWXYZ")),CODE(MID($L40,22,1))-55,"#")))</f>
        <v/>
      </c>
      <c r="AJ40" s="18" t="str">
        <f aca="false">IF(LEN($L40)&lt;23,"",IF(ISNUMBER(FIND(MID($L40,23,1),"0123456789")),MID($L40,23,1),IF(ISNUMBER(FIND(MID($L40,23,1),"ABCDEFGHIJKLMNOPQRSTUVWXYZ")),CODE(MID($L40,23,1))-55,"#")))</f>
        <v/>
      </c>
      <c r="AK40" s="18" t="str">
        <f aca="false">IF(LEN($L40)&lt;24,"",IF(ISNUMBER(FIND(MID($L40,24,1),"0123456789")),MID($L40,24,1),IF(ISNUMBER(FIND(MID($L40,24,1),"ABCDEFGHIJKLMNOPQRSTUVWXYZ")),CODE(MID($L40,24,1))-55,"#")))</f>
        <v/>
      </c>
      <c r="AL40" s="18" t="str">
        <f aca="false">IF(LEN($L40)&lt;25,"",IF(ISNUMBER(FIND(MID($L40,25,1),"0123456789")),MID($L40,25,1),IF(ISNUMBER(FIND(MID($L40,25,1),"ABCDEFGHIJKLMNOPQRSTUVWXYZ")),CODE(MID($L40,25,1))-55,"#")))</f>
        <v/>
      </c>
      <c r="AM40" s="18" t="str">
        <f aca="false">IF(LEN($L40)&lt;26,"",IF(ISNUMBER(FIND(MID($L40,26,1),"0123456789")),MID($L40,26,1),IF(ISNUMBER(FIND(MID($L40,26,1),"ABCDEFGHIJKLMNOPQRSTUVWXYZ")),CODE(MID($L40,26,1))-55,"#")))</f>
        <v/>
      </c>
      <c r="AN40" s="18" t="str">
        <f aca="false">IF(LEN($L40)&lt;27,"",IF(ISNUMBER(FIND(MID($L40,27,1),"0123456789")),MID($L40,27,1),IF(ISNUMBER(FIND(MID($L40,27,1),"ABCDEFGHIJKLMNOPQRSTUVWXYZ")),CODE(MID($L40,27,1))-55,"#")))</f>
        <v/>
      </c>
      <c r="AO40" s="18" t="str">
        <f aca="false">IF(LEN($L40)&lt;28,"",IF(ISNUMBER(FIND(MID($L40,28,1),"0123456789")),MID($L40,28,1),IF(ISNUMBER(FIND(MID($L40,28,1),"ABCDEFGHIJKLMNOPQRSTUVWXYZ")),CODE(MID($L40,28,1))-55,"#")))</f>
        <v/>
      </c>
      <c r="AP40" s="18" t="str">
        <f aca="false">IF(LEN($L40)&lt;29,"",IF(ISNUMBER(FIND(MID($L40,29,1),"0123456789")),MID($L40,29,1),IF(ISNUMBER(FIND(MID($L40,29,1),"ABCDEFGHIJKLMNOPQRSTUVWXYZ")),CODE(MID($L40,29,1))-55,"#")))</f>
        <v/>
      </c>
      <c r="AQ40" s="18" t="str">
        <f aca="false">IF(LEN($L40)&lt;30,"",IF(ISNUMBER(FIND(MID($L40,30,1),"0123456789")),MID($L40,30,1),IF(ISNUMBER(FIND(MID($L40,30,1),"ABCDEFGHIJKLMNOPQRSTUVWXYZ")),CODE(MID($L40,30,1))-55,"#")))</f>
        <v/>
      </c>
      <c r="AR40" s="18" t="str">
        <f aca="false">IF(LEN($L40)&lt;31,"",IF(ISNUMBER(FIND(MID($L40,31,1),"0123456789")),MID($L40,31,1),IF(ISNUMBER(FIND(MID($L40,31,1),"ABCDEFGHIJKLMNOPQRSTUVWXYZ")),CODE(MID($L40,31,1))-55,"#")))</f>
        <v/>
      </c>
      <c r="AS40" s="18" t="str">
        <f aca="false">IF(LEN($L40)&lt;32,"",IF(ISNUMBER(FIND(MID($L40,32,1),"0123456789")),MID($L40,32,1),IF(ISNUMBER(FIND(MID($L40,32,1),"ABCDEFGHIJKLMNOPQRSTUVWXYZ")),CODE(MID($L40,32,1))-55,"#")))</f>
        <v/>
      </c>
      <c r="AT40" s="18" t="str">
        <f aca="false">IF(LEN($L40)&lt;33,"",IF(ISNUMBER(FIND(MID($L40,33,1),"0123456789")),MID($L40,33,1),IF(ISNUMBER(FIND(MID($L40,33,1),"ABCDEFGHIJKLMNOPQRSTUVWXYZ")),CODE(MID($L40,33,1))-55,"#")))</f>
        <v/>
      </c>
      <c r="AU40" s="18" t="str">
        <f aca="false">IF(LEN($L40)&lt;34,"",IF(ISNUMBER(FIND(MID($L40,34,1),"0123456789")),MID($L40,34,1),IF(ISNUMBER(FIND(MID($L40,34,1),"ABCDEFGHIJKLMNOPQRSTUVWXYZ")),CODE(MID($L40,34,1))-55,"#")))</f>
        <v/>
      </c>
      <c r="AV40" s="18" t="str">
        <f aca="false">_xlfn.CONCAT(N40:AU40)</f>
        <v/>
      </c>
      <c r="AW40" s="18" t="str">
        <f aca="false">IF(OR(AV40="",M40=FALSE()),"",MOD(VALUE(MID(AV40,1,9)),97))</f>
        <v/>
      </c>
      <c r="AX40" s="18" t="str">
        <f aca="false">IF(AW40="","",MOD(VALUE(AW40&amp;MID(AV40,10,7)),97))</f>
        <v/>
      </c>
      <c r="AY40" s="18" t="str">
        <f aca="false">IF(AX40="","",MOD(VALUE(AX40&amp;MID(AV40,17,7)),97))</f>
        <v/>
      </c>
      <c r="AZ40" s="18" t="str">
        <f aca="false">IF(AY40="","",MOD(VALUE(AY40&amp;MID(AV40,24,7)),97))</f>
        <v/>
      </c>
      <c r="BA40" s="18" t="str">
        <f aca="false">IF(AZ40="","",MOD(VALUE(AZ40&amp;MID(AV40,31,7)),97))</f>
        <v/>
      </c>
      <c r="BB40" s="18" t="str">
        <f aca="false">IF(BA40="","",MOD(VALUE(BA40&amp;MID(AV40,38,7)),97))</f>
        <v/>
      </c>
      <c r="BC40" s="18" t="str">
        <f aca="false">IF(BB40="","",MOD(VALUE(BB40&amp;MID(AV40,45,7)),97))</f>
        <v/>
      </c>
      <c r="BD40" s="18" t="str">
        <f aca="false">IF(BC40="","",MOD(VALUE(BC40&amp;MID(AV40,52,7)),97))</f>
        <v/>
      </c>
      <c r="BE40" s="18" t="str">
        <f aca="false">IF(BD40="","",MOD(VALUE(BD40&amp;MID(AV40,59,7)),97))</f>
        <v/>
      </c>
      <c r="BF40" s="18" t="str">
        <f aca="false">IF(BE40="","",MOD(VALUE(BE40&amp;MID(AV40,66,7)),97))</f>
        <v/>
      </c>
    </row>
    <row r="41" customFormat="false" ht="15" hidden="false" customHeight="false" outlineLevel="0" collapsed="false">
      <c r="A41" s="11"/>
      <c r="B41" s="5" t="str">
        <f aca="false">UPPER(SUBSTITUTE(SUBSTITUTE(SUBSTITUTE(TRIM(A41)," ",""),"-",""),CHAR(160),""))</f>
        <v/>
      </c>
      <c r="C41" s="5" t="str">
        <f aca="false">IF(B41="","",LEN(B41))</f>
        <v/>
      </c>
      <c r="D41" s="5" t="str">
        <f aca="false">IF(B41="","",LEFT(B41,2))</f>
        <v/>
      </c>
      <c r="E41" s="5" t="str">
        <f aca="false">IF(B41="","",MID(B41,3,2))</f>
        <v/>
      </c>
      <c r="F41" s="5" t="str">
        <f aca="false">IF(B41="","",MID(B41,5,2))</f>
        <v/>
      </c>
      <c r="G41" s="5" t="str">
        <f aca="false">IF(B41="","",IFERROR(INDEX('رموز البنوك'!$C$5:$C$30,MATCH(F41,'رموز البنوك'!$B$5:$B$30,0)),"رمز غير معروف"))</f>
        <v/>
      </c>
      <c r="H41" s="5" t="str">
        <f aca="false">BF41</f>
        <v/>
      </c>
      <c r="I41" s="5" t="str">
        <f aca="false">IF(OR(H41="",NOT(AND(ISNUMBER(FIND(MID(B41,3,1),"0123456789")),ISNUMBER(FIND(MID(B41,4,1),"0123456789"))))),"",TEXT(98-MOD(H41-VALUE(E41),97),"00"))</f>
        <v/>
      </c>
      <c r="J41" s="4" t="str">
        <f aca="false">IF(B41="","",IF(LEFT(K41,10)="آيبان صحيح","صحيح ✓","غير صحيح ✗"))</f>
        <v/>
      </c>
      <c r="K41" s="10" t="str">
        <f aca="false">IF(B41="","",IF(M41=FALSE(),"يحتوي رموزاً غير مسموحة (المسموح A–Z و 0–9 فقط)",IF(D41&lt;&gt;"SA","رمز الدولة "&amp;D41&amp;" — هذا المدقق للآيبان السعودي SA",IF(C41&lt;&gt;24,"الطول "&amp;C41&amp;" خانة والمطلوب 24",IF(NOT(AND(ISNUMBER(FIND(MID(B41,3,1),"0123456789")),ISNUMBER(FIND(MID(B41,4,1),"0123456789")))),"خانتا التدقيق يجب أن تكونا رقمين",IF(ISERROR(VALUE(MID(B41,5,20))),"رمز البنك ورقم الحساب يجب أن يكونا أرقاماً",IF(H41&lt;&gt;1,"فشل اختبار MOD-97 (الباقي "&amp;H41&amp;" وليس 1) — خطأ في كتابة الرقم؛ خانتا التدقيق الصحيحتان لهذا الحساب "&amp;I41,IF(G41="رمز غير معروف","اجتاز MOD-97 لكن رمز البنك "&amp;F41&amp;" غير مسجل في جدول البنوك","آيبان صحيح — "&amp;G41))))))))</f>
        <v/>
      </c>
      <c r="L41" s="18" t="str">
        <f aca="false">IF(B41="","",MID(B41,5,40)&amp;LEFT(B41,4))</f>
        <v/>
      </c>
      <c r="M41" s="18" t="str">
        <f aca="false">IF(L41="","",NOT(ISNUMBER(FIND("#",AV41))))</f>
        <v/>
      </c>
      <c r="N41" s="18" t="str">
        <f aca="false">IF(LEN($L41)&lt;1,"",IF(ISNUMBER(FIND(MID($L41,1,1),"0123456789")),MID($L41,1,1),IF(ISNUMBER(FIND(MID($L41,1,1),"ABCDEFGHIJKLMNOPQRSTUVWXYZ")),CODE(MID($L41,1,1))-55,"#")))</f>
        <v/>
      </c>
      <c r="O41" s="18" t="str">
        <f aca="false">IF(LEN($L41)&lt;2,"",IF(ISNUMBER(FIND(MID($L41,2,1),"0123456789")),MID($L41,2,1),IF(ISNUMBER(FIND(MID($L41,2,1),"ABCDEFGHIJKLMNOPQRSTUVWXYZ")),CODE(MID($L41,2,1))-55,"#")))</f>
        <v/>
      </c>
      <c r="P41" s="18" t="str">
        <f aca="false">IF(LEN($L41)&lt;3,"",IF(ISNUMBER(FIND(MID($L41,3,1),"0123456789")),MID($L41,3,1),IF(ISNUMBER(FIND(MID($L41,3,1),"ABCDEFGHIJKLMNOPQRSTUVWXYZ")),CODE(MID($L41,3,1))-55,"#")))</f>
        <v/>
      </c>
      <c r="Q41" s="18" t="str">
        <f aca="false">IF(LEN($L41)&lt;4,"",IF(ISNUMBER(FIND(MID($L41,4,1),"0123456789")),MID($L41,4,1),IF(ISNUMBER(FIND(MID($L41,4,1),"ABCDEFGHIJKLMNOPQRSTUVWXYZ")),CODE(MID($L41,4,1))-55,"#")))</f>
        <v/>
      </c>
      <c r="R41" s="18" t="str">
        <f aca="false">IF(LEN($L41)&lt;5,"",IF(ISNUMBER(FIND(MID($L41,5,1),"0123456789")),MID($L41,5,1),IF(ISNUMBER(FIND(MID($L41,5,1),"ABCDEFGHIJKLMNOPQRSTUVWXYZ")),CODE(MID($L41,5,1))-55,"#")))</f>
        <v/>
      </c>
      <c r="S41" s="18" t="str">
        <f aca="false">IF(LEN($L41)&lt;6,"",IF(ISNUMBER(FIND(MID($L41,6,1),"0123456789")),MID($L41,6,1),IF(ISNUMBER(FIND(MID($L41,6,1),"ABCDEFGHIJKLMNOPQRSTUVWXYZ")),CODE(MID($L41,6,1))-55,"#")))</f>
        <v/>
      </c>
      <c r="T41" s="18" t="str">
        <f aca="false">IF(LEN($L41)&lt;7,"",IF(ISNUMBER(FIND(MID($L41,7,1),"0123456789")),MID($L41,7,1),IF(ISNUMBER(FIND(MID($L41,7,1),"ABCDEFGHIJKLMNOPQRSTUVWXYZ")),CODE(MID($L41,7,1))-55,"#")))</f>
        <v/>
      </c>
      <c r="U41" s="18" t="str">
        <f aca="false">IF(LEN($L41)&lt;8,"",IF(ISNUMBER(FIND(MID($L41,8,1),"0123456789")),MID($L41,8,1),IF(ISNUMBER(FIND(MID($L41,8,1),"ABCDEFGHIJKLMNOPQRSTUVWXYZ")),CODE(MID($L41,8,1))-55,"#")))</f>
        <v/>
      </c>
      <c r="V41" s="18" t="str">
        <f aca="false">IF(LEN($L41)&lt;9,"",IF(ISNUMBER(FIND(MID($L41,9,1),"0123456789")),MID($L41,9,1),IF(ISNUMBER(FIND(MID($L41,9,1),"ABCDEFGHIJKLMNOPQRSTUVWXYZ")),CODE(MID($L41,9,1))-55,"#")))</f>
        <v/>
      </c>
      <c r="W41" s="18" t="str">
        <f aca="false">IF(LEN($L41)&lt;10,"",IF(ISNUMBER(FIND(MID($L41,10,1),"0123456789")),MID($L41,10,1),IF(ISNUMBER(FIND(MID($L41,10,1),"ABCDEFGHIJKLMNOPQRSTUVWXYZ")),CODE(MID($L41,10,1))-55,"#")))</f>
        <v/>
      </c>
      <c r="X41" s="18" t="str">
        <f aca="false">IF(LEN($L41)&lt;11,"",IF(ISNUMBER(FIND(MID($L41,11,1),"0123456789")),MID($L41,11,1),IF(ISNUMBER(FIND(MID($L41,11,1),"ABCDEFGHIJKLMNOPQRSTUVWXYZ")),CODE(MID($L41,11,1))-55,"#")))</f>
        <v/>
      </c>
      <c r="Y41" s="18" t="str">
        <f aca="false">IF(LEN($L41)&lt;12,"",IF(ISNUMBER(FIND(MID($L41,12,1),"0123456789")),MID($L41,12,1),IF(ISNUMBER(FIND(MID($L41,12,1),"ABCDEFGHIJKLMNOPQRSTUVWXYZ")),CODE(MID($L41,12,1))-55,"#")))</f>
        <v/>
      </c>
      <c r="Z41" s="18" t="str">
        <f aca="false">IF(LEN($L41)&lt;13,"",IF(ISNUMBER(FIND(MID($L41,13,1),"0123456789")),MID($L41,13,1),IF(ISNUMBER(FIND(MID($L41,13,1),"ABCDEFGHIJKLMNOPQRSTUVWXYZ")),CODE(MID($L41,13,1))-55,"#")))</f>
        <v/>
      </c>
      <c r="AA41" s="18" t="str">
        <f aca="false">IF(LEN($L41)&lt;14,"",IF(ISNUMBER(FIND(MID($L41,14,1),"0123456789")),MID($L41,14,1),IF(ISNUMBER(FIND(MID($L41,14,1),"ABCDEFGHIJKLMNOPQRSTUVWXYZ")),CODE(MID($L41,14,1))-55,"#")))</f>
        <v/>
      </c>
      <c r="AB41" s="18" t="str">
        <f aca="false">IF(LEN($L41)&lt;15,"",IF(ISNUMBER(FIND(MID($L41,15,1),"0123456789")),MID($L41,15,1),IF(ISNUMBER(FIND(MID($L41,15,1),"ABCDEFGHIJKLMNOPQRSTUVWXYZ")),CODE(MID($L41,15,1))-55,"#")))</f>
        <v/>
      </c>
      <c r="AC41" s="18" t="str">
        <f aca="false">IF(LEN($L41)&lt;16,"",IF(ISNUMBER(FIND(MID($L41,16,1),"0123456789")),MID($L41,16,1),IF(ISNUMBER(FIND(MID($L41,16,1),"ABCDEFGHIJKLMNOPQRSTUVWXYZ")),CODE(MID($L41,16,1))-55,"#")))</f>
        <v/>
      </c>
      <c r="AD41" s="18" t="str">
        <f aca="false">IF(LEN($L41)&lt;17,"",IF(ISNUMBER(FIND(MID($L41,17,1),"0123456789")),MID($L41,17,1),IF(ISNUMBER(FIND(MID($L41,17,1),"ABCDEFGHIJKLMNOPQRSTUVWXYZ")),CODE(MID($L41,17,1))-55,"#")))</f>
        <v/>
      </c>
      <c r="AE41" s="18" t="str">
        <f aca="false">IF(LEN($L41)&lt;18,"",IF(ISNUMBER(FIND(MID($L41,18,1),"0123456789")),MID($L41,18,1),IF(ISNUMBER(FIND(MID($L41,18,1),"ABCDEFGHIJKLMNOPQRSTUVWXYZ")),CODE(MID($L41,18,1))-55,"#")))</f>
        <v/>
      </c>
      <c r="AF41" s="18" t="str">
        <f aca="false">IF(LEN($L41)&lt;19,"",IF(ISNUMBER(FIND(MID($L41,19,1),"0123456789")),MID($L41,19,1),IF(ISNUMBER(FIND(MID($L41,19,1),"ABCDEFGHIJKLMNOPQRSTUVWXYZ")),CODE(MID($L41,19,1))-55,"#")))</f>
        <v/>
      </c>
      <c r="AG41" s="18" t="str">
        <f aca="false">IF(LEN($L41)&lt;20,"",IF(ISNUMBER(FIND(MID($L41,20,1),"0123456789")),MID($L41,20,1),IF(ISNUMBER(FIND(MID($L41,20,1),"ABCDEFGHIJKLMNOPQRSTUVWXYZ")),CODE(MID($L41,20,1))-55,"#")))</f>
        <v/>
      </c>
      <c r="AH41" s="18" t="str">
        <f aca="false">IF(LEN($L41)&lt;21,"",IF(ISNUMBER(FIND(MID($L41,21,1),"0123456789")),MID($L41,21,1),IF(ISNUMBER(FIND(MID($L41,21,1),"ABCDEFGHIJKLMNOPQRSTUVWXYZ")),CODE(MID($L41,21,1))-55,"#")))</f>
        <v/>
      </c>
      <c r="AI41" s="18" t="str">
        <f aca="false">IF(LEN($L41)&lt;22,"",IF(ISNUMBER(FIND(MID($L41,22,1),"0123456789")),MID($L41,22,1),IF(ISNUMBER(FIND(MID($L41,22,1),"ABCDEFGHIJKLMNOPQRSTUVWXYZ")),CODE(MID($L41,22,1))-55,"#")))</f>
        <v/>
      </c>
      <c r="AJ41" s="18" t="str">
        <f aca="false">IF(LEN($L41)&lt;23,"",IF(ISNUMBER(FIND(MID($L41,23,1),"0123456789")),MID($L41,23,1),IF(ISNUMBER(FIND(MID($L41,23,1),"ABCDEFGHIJKLMNOPQRSTUVWXYZ")),CODE(MID($L41,23,1))-55,"#")))</f>
        <v/>
      </c>
      <c r="AK41" s="18" t="str">
        <f aca="false">IF(LEN($L41)&lt;24,"",IF(ISNUMBER(FIND(MID($L41,24,1),"0123456789")),MID($L41,24,1),IF(ISNUMBER(FIND(MID($L41,24,1),"ABCDEFGHIJKLMNOPQRSTUVWXYZ")),CODE(MID($L41,24,1))-55,"#")))</f>
        <v/>
      </c>
      <c r="AL41" s="18" t="str">
        <f aca="false">IF(LEN($L41)&lt;25,"",IF(ISNUMBER(FIND(MID($L41,25,1),"0123456789")),MID($L41,25,1),IF(ISNUMBER(FIND(MID($L41,25,1),"ABCDEFGHIJKLMNOPQRSTUVWXYZ")),CODE(MID($L41,25,1))-55,"#")))</f>
        <v/>
      </c>
      <c r="AM41" s="18" t="str">
        <f aca="false">IF(LEN($L41)&lt;26,"",IF(ISNUMBER(FIND(MID($L41,26,1),"0123456789")),MID($L41,26,1),IF(ISNUMBER(FIND(MID($L41,26,1),"ABCDEFGHIJKLMNOPQRSTUVWXYZ")),CODE(MID($L41,26,1))-55,"#")))</f>
        <v/>
      </c>
      <c r="AN41" s="18" t="str">
        <f aca="false">IF(LEN($L41)&lt;27,"",IF(ISNUMBER(FIND(MID($L41,27,1),"0123456789")),MID($L41,27,1),IF(ISNUMBER(FIND(MID($L41,27,1),"ABCDEFGHIJKLMNOPQRSTUVWXYZ")),CODE(MID($L41,27,1))-55,"#")))</f>
        <v/>
      </c>
      <c r="AO41" s="18" t="str">
        <f aca="false">IF(LEN($L41)&lt;28,"",IF(ISNUMBER(FIND(MID($L41,28,1),"0123456789")),MID($L41,28,1),IF(ISNUMBER(FIND(MID($L41,28,1),"ABCDEFGHIJKLMNOPQRSTUVWXYZ")),CODE(MID($L41,28,1))-55,"#")))</f>
        <v/>
      </c>
      <c r="AP41" s="18" t="str">
        <f aca="false">IF(LEN($L41)&lt;29,"",IF(ISNUMBER(FIND(MID($L41,29,1),"0123456789")),MID($L41,29,1),IF(ISNUMBER(FIND(MID($L41,29,1),"ABCDEFGHIJKLMNOPQRSTUVWXYZ")),CODE(MID($L41,29,1))-55,"#")))</f>
        <v/>
      </c>
      <c r="AQ41" s="18" t="str">
        <f aca="false">IF(LEN($L41)&lt;30,"",IF(ISNUMBER(FIND(MID($L41,30,1),"0123456789")),MID($L41,30,1),IF(ISNUMBER(FIND(MID($L41,30,1),"ABCDEFGHIJKLMNOPQRSTUVWXYZ")),CODE(MID($L41,30,1))-55,"#")))</f>
        <v/>
      </c>
      <c r="AR41" s="18" t="str">
        <f aca="false">IF(LEN($L41)&lt;31,"",IF(ISNUMBER(FIND(MID($L41,31,1),"0123456789")),MID($L41,31,1),IF(ISNUMBER(FIND(MID($L41,31,1),"ABCDEFGHIJKLMNOPQRSTUVWXYZ")),CODE(MID($L41,31,1))-55,"#")))</f>
        <v/>
      </c>
      <c r="AS41" s="18" t="str">
        <f aca="false">IF(LEN($L41)&lt;32,"",IF(ISNUMBER(FIND(MID($L41,32,1),"0123456789")),MID($L41,32,1),IF(ISNUMBER(FIND(MID($L41,32,1),"ABCDEFGHIJKLMNOPQRSTUVWXYZ")),CODE(MID($L41,32,1))-55,"#")))</f>
        <v/>
      </c>
      <c r="AT41" s="18" t="str">
        <f aca="false">IF(LEN($L41)&lt;33,"",IF(ISNUMBER(FIND(MID($L41,33,1),"0123456789")),MID($L41,33,1),IF(ISNUMBER(FIND(MID($L41,33,1),"ABCDEFGHIJKLMNOPQRSTUVWXYZ")),CODE(MID($L41,33,1))-55,"#")))</f>
        <v/>
      </c>
      <c r="AU41" s="18" t="str">
        <f aca="false">IF(LEN($L41)&lt;34,"",IF(ISNUMBER(FIND(MID($L41,34,1),"0123456789")),MID($L41,34,1),IF(ISNUMBER(FIND(MID($L41,34,1),"ABCDEFGHIJKLMNOPQRSTUVWXYZ")),CODE(MID($L41,34,1))-55,"#")))</f>
        <v/>
      </c>
      <c r="AV41" s="18" t="str">
        <f aca="false">_xlfn.CONCAT(N41:AU41)</f>
        <v/>
      </c>
      <c r="AW41" s="18" t="str">
        <f aca="false">IF(OR(AV41="",M41=FALSE()),"",MOD(VALUE(MID(AV41,1,9)),97))</f>
        <v/>
      </c>
      <c r="AX41" s="18" t="str">
        <f aca="false">IF(AW41="","",MOD(VALUE(AW41&amp;MID(AV41,10,7)),97))</f>
        <v/>
      </c>
      <c r="AY41" s="18" t="str">
        <f aca="false">IF(AX41="","",MOD(VALUE(AX41&amp;MID(AV41,17,7)),97))</f>
        <v/>
      </c>
      <c r="AZ41" s="18" t="str">
        <f aca="false">IF(AY41="","",MOD(VALUE(AY41&amp;MID(AV41,24,7)),97))</f>
        <v/>
      </c>
      <c r="BA41" s="18" t="str">
        <f aca="false">IF(AZ41="","",MOD(VALUE(AZ41&amp;MID(AV41,31,7)),97))</f>
        <v/>
      </c>
      <c r="BB41" s="18" t="str">
        <f aca="false">IF(BA41="","",MOD(VALUE(BA41&amp;MID(AV41,38,7)),97))</f>
        <v/>
      </c>
      <c r="BC41" s="18" t="str">
        <f aca="false">IF(BB41="","",MOD(VALUE(BB41&amp;MID(AV41,45,7)),97))</f>
        <v/>
      </c>
      <c r="BD41" s="18" t="str">
        <f aca="false">IF(BC41="","",MOD(VALUE(BC41&amp;MID(AV41,52,7)),97))</f>
        <v/>
      </c>
      <c r="BE41" s="18" t="str">
        <f aca="false">IF(BD41="","",MOD(VALUE(BD41&amp;MID(AV41,59,7)),97))</f>
        <v/>
      </c>
      <c r="BF41" s="18" t="str">
        <f aca="false">IF(BE41="","",MOD(VALUE(BE41&amp;MID(AV41,66,7)),97))</f>
        <v/>
      </c>
    </row>
    <row r="42" customFormat="false" ht="15" hidden="false" customHeight="false" outlineLevel="0" collapsed="false">
      <c r="A42" s="11"/>
      <c r="B42" s="5" t="str">
        <f aca="false">UPPER(SUBSTITUTE(SUBSTITUTE(SUBSTITUTE(TRIM(A42)," ",""),"-",""),CHAR(160),""))</f>
        <v/>
      </c>
      <c r="C42" s="5" t="str">
        <f aca="false">IF(B42="","",LEN(B42))</f>
        <v/>
      </c>
      <c r="D42" s="5" t="str">
        <f aca="false">IF(B42="","",LEFT(B42,2))</f>
        <v/>
      </c>
      <c r="E42" s="5" t="str">
        <f aca="false">IF(B42="","",MID(B42,3,2))</f>
        <v/>
      </c>
      <c r="F42" s="5" t="str">
        <f aca="false">IF(B42="","",MID(B42,5,2))</f>
        <v/>
      </c>
      <c r="G42" s="5" t="str">
        <f aca="false">IF(B42="","",IFERROR(INDEX('رموز البنوك'!$C$5:$C$30,MATCH(F42,'رموز البنوك'!$B$5:$B$30,0)),"رمز غير معروف"))</f>
        <v/>
      </c>
      <c r="H42" s="5" t="str">
        <f aca="false">BF42</f>
        <v/>
      </c>
      <c r="I42" s="5" t="str">
        <f aca="false">IF(OR(H42="",NOT(AND(ISNUMBER(FIND(MID(B42,3,1),"0123456789")),ISNUMBER(FIND(MID(B42,4,1),"0123456789"))))),"",TEXT(98-MOD(H42-VALUE(E42),97),"00"))</f>
        <v/>
      </c>
      <c r="J42" s="4" t="str">
        <f aca="false">IF(B42="","",IF(LEFT(K42,10)="آيبان صحيح","صحيح ✓","غير صحيح ✗"))</f>
        <v/>
      </c>
      <c r="K42" s="10" t="str">
        <f aca="false">IF(B42="","",IF(M42=FALSE(),"يحتوي رموزاً غير مسموحة (المسموح A–Z و 0–9 فقط)",IF(D42&lt;&gt;"SA","رمز الدولة "&amp;D42&amp;" — هذا المدقق للآيبان السعودي SA",IF(C42&lt;&gt;24,"الطول "&amp;C42&amp;" خانة والمطلوب 24",IF(NOT(AND(ISNUMBER(FIND(MID(B42,3,1),"0123456789")),ISNUMBER(FIND(MID(B42,4,1),"0123456789")))),"خانتا التدقيق يجب أن تكونا رقمين",IF(ISERROR(VALUE(MID(B42,5,20))),"رمز البنك ورقم الحساب يجب أن يكونا أرقاماً",IF(H42&lt;&gt;1,"فشل اختبار MOD-97 (الباقي "&amp;H42&amp;" وليس 1) — خطأ في كتابة الرقم؛ خانتا التدقيق الصحيحتان لهذا الحساب "&amp;I42,IF(G42="رمز غير معروف","اجتاز MOD-97 لكن رمز البنك "&amp;F42&amp;" غير مسجل في جدول البنوك","آيبان صحيح — "&amp;G42))))))))</f>
        <v/>
      </c>
      <c r="L42" s="18" t="str">
        <f aca="false">IF(B42="","",MID(B42,5,40)&amp;LEFT(B42,4))</f>
        <v/>
      </c>
      <c r="M42" s="18" t="str">
        <f aca="false">IF(L42="","",NOT(ISNUMBER(FIND("#",AV42))))</f>
        <v/>
      </c>
      <c r="N42" s="18" t="str">
        <f aca="false">IF(LEN($L42)&lt;1,"",IF(ISNUMBER(FIND(MID($L42,1,1),"0123456789")),MID($L42,1,1),IF(ISNUMBER(FIND(MID($L42,1,1),"ABCDEFGHIJKLMNOPQRSTUVWXYZ")),CODE(MID($L42,1,1))-55,"#")))</f>
        <v/>
      </c>
      <c r="O42" s="18" t="str">
        <f aca="false">IF(LEN($L42)&lt;2,"",IF(ISNUMBER(FIND(MID($L42,2,1),"0123456789")),MID($L42,2,1),IF(ISNUMBER(FIND(MID($L42,2,1),"ABCDEFGHIJKLMNOPQRSTUVWXYZ")),CODE(MID($L42,2,1))-55,"#")))</f>
        <v/>
      </c>
      <c r="P42" s="18" t="str">
        <f aca="false">IF(LEN($L42)&lt;3,"",IF(ISNUMBER(FIND(MID($L42,3,1),"0123456789")),MID($L42,3,1),IF(ISNUMBER(FIND(MID($L42,3,1),"ABCDEFGHIJKLMNOPQRSTUVWXYZ")),CODE(MID($L42,3,1))-55,"#")))</f>
        <v/>
      </c>
      <c r="Q42" s="18" t="str">
        <f aca="false">IF(LEN($L42)&lt;4,"",IF(ISNUMBER(FIND(MID($L42,4,1),"0123456789")),MID($L42,4,1),IF(ISNUMBER(FIND(MID($L42,4,1),"ABCDEFGHIJKLMNOPQRSTUVWXYZ")),CODE(MID($L42,4,1))-55,"#")))</f>
        <v/>
      </c>
      <c r="R42" s="18" t="str">
        <f aca="false">IF(LEN($L42)&lt;5,"",IF(ISNUMBER(FIND(MID($L42,5,1),"0123456789")),MID($L42,5,1),IF(ISNUMBER(FIND(MID($L42,5,1),"ABCDEFGHIJKLMNOPQRSTUVWXYZ")),CODE(MID($L42,5,1))-55,"#")))</f>
        <v/>
      </c>
      <c r="S42" s="18" t="str">
        <f aca="false">IF(LEN($L42)&lt;6,"",IF(ISNUMBER(FIND(MID($L42,6,1),"0123456789")),MID($L42,6,1),IF(ISNUMBER(FIND(MID($L42,6,1),"ABCDEFGHIJKLMNOPQRSTUVWXYZ")),CODE(MID($L42,6,1))-55,"#")))</f>
        <v/>
      </c>
      <c r="T42" s="18" t="str">
        <f aca="false">IF(LEN($L42)&lt;7,"",IF(ISNUMBER(FIND(MID($L42,7,1),"0123456789")),MID($L42,7,1),IF(ISNUMBER(FIND(MID($L42,7,1),"ABCDEFGHIJKLMNOPQRSTUVWXYZ")),CODE(MID($L42,7,1))-55,"#")))</f>
        <v/>
      </c>
      <c r="U42" s="18" t="str">
        <f aca="false">IF(LEN($L42)&lt;8,"",IF(ISNUMBER(FIND(MID($L42,8,1),"0123456789")),MID($L42,8,1),IF(ISNUMBER(FIND(MID($L42,8,1),"ABCDEFGHIJKLMNOPQRSTUVWXYZ")),CODE(MID($L42,8,1))-55,"#")))</f>
        <v/>
      </c>
      <c r="V42" s="18" t="str">
        <f aca="false">IF(LEN($L42)&lt;9,"",IF(ISNUMBER(FIND(MID($L42,9,1),"0123456789")),MID($L42,9,1),IF(ISNUMBER(FIND(MID($L42,9,1),"ABCDEFGHIJKLMNOPQRSTUVWXYZ")),CODE(MID($L42,9,1))-55,"#")))</f>
        <v/>
      </c>
      <c r="W42" s="18" t="str">
        <f aca="false">IF(LEN($L42)&lt;10,"",IF(ISNUMBER(FIND(MID($L42,10,1),"0123456789")),MID($L42,10,1),IF(ISNUMBER(FIND(MID($L42,10,1),"ABCDEFGHIJKLMNOPQRSTUVWXYZ")),CODE(MID($L42,10,1))-55,"#")))</f>
        <v/>
      </c>
      <c r="X42" s="18" t="str">
        <f aca="false">IF(LEN($L42)&lt;11,"",IF(ISNUMBER(FIND(MID($L42,11,1),"0123456789")),MID($L42,11,1),IF(ISNUMBER(FIND(MID($L42,11,1),"ABCDEFGHIJKLMNOPQRSTUVWXYZ")),CODE(MID($L42,11,1))-55,"#")))</f>
        <v/>
      </c>
      <c r="Y42" s="18" t="str">
        <f aca="false">IF(LEN($L42)&lt;12,"",IF(ISNUMBER(FIND(MID($L42,12,1),"0123456789")),MID($L42,12,1),IF(ISNUMBER(FIND(MID($L42,12,1),"ABCDEFGHIJKLMNOPQRSTUVWXYZ")),CODE(MID($L42,12,1))-55,"#")))</f>
        <v/>
      </c>
      <c r="Z42" s="18" t="str">
        <f aca="false">IF(LEN($L42)&lt;13,"",IF(ISNUMBER(FIND(MID($L42,13,1),"0123456789")),MID($L42,13,1),IF(ISNUMBER(FIND(MID($L42,13,1),"ABCDEFGHIJKLMNOPQRSTUVWXYZ")),CODE(MID($L42,13,1))-55,"#")))</f>
        <v/>
      </c>
      <c r="AA42" s="18" t="str">
        <f aca="false">IF(LEN($L42)&lt;14,"",IF(ISNUMBER(FIND(MID($L42,14,1),"0123456789")),MID($L42,14,1),IF(ISNUMBER(FIND(MID($L42,14,1),"ABCDEFGHIJKLMNOPQRSTUVWXYZ")),CODE(MID($L42,14,1))-55,"#")))</f>
        <v/>
      </c>
      <c r="AB42" s="18" t="str">
        <f aca="false">IF(LEN($L42)&lt;15,"",IF(ISNUMBER(FIND(MID($L42,15,1),"0123456789")),MID($L42,15,1),IF(ISNUMBER(FIND(MID($L42,15,1),"ABCDEFGHIJKLMNOPQRSTUVWXYZ")),CODE(MID($L42,15,1))-55,"#")))</f>
        <v/>
      </c>
      <c r="AC42" s="18" t="str">
        <f aca="false">IF(LEN($L42)&lt;16,"",IF(ISNUMBER(FIND(MID($L42,16,1),"0123456789")),MID($L42,16,1),IF(ISNUMBER(FIND(MID($L42,16,1),"ABCDEFGHIJKLMNOPQRSTUVWXYZ")),CODE(MID($L42,16,1))-55,"#")))</f>
        <v/>
      </c>
      <c r="AD42" s="18" t="str">
        <f aca="false">IF(LEN($L42)&lt;17,"",IF(ISNUMBER(FIND(MID($L42,17,1),"0123456789")),MID($L42,17,1),IF(ISNUMBER(FIND(MID($L42,17,1),"ABCDEFGHIJKLMNOPQRSTUVWXYZ")),CODE(MID($L42,17,1))-55,"#")))</f>
        <v/>
      </c>
      <c r="AE42" s="18" t="str">
        <f aca="false">IF(LEN($L42)&lt;18,"",IF(ISNUMBER(FIND(MID($L42,18,1),"0123456789")),MID($L42,18,1),IF(ISNUMBER(FIND(MID($L42,18,1),"ABCDEFGHIJKLMNOPQRSTUVWXYZ")),CODE(MID($L42,18,1))-55,"#")))</f>
        <v/>
      </c>
      <c r="AF42" s="18" t="str">
        <f aca="false">IF(LEN($L42)&lt;19,"",IF(ISNUMBER(FIND(MID($L42,19,1),"0123456789")),MID($L42,19,1),IF(ISNUMBER(FIND(MID($L42,19,1),"ABCDEFGHIJKLMNOPQRSTUVWXYZ")),CODE(MID($L42,19,1))-55,"#")))</f>
        <v/>
      </c>
      <c r="AG42" s="18" t="str">
        <f aca="false">IF(LEN($L42)&lt;20,"",IF(ISNUMBER(FIND(MID($L42,20,1),"0123456789")),MID($L42,20,1),IF(ISNUMBER(FIND(MID($L42,20,1),"ABCDEFGHIJKLMNOPQRSTUVWXYZ")),CODE(MID($L42,20,1))-55,"#")))</f>
        <v/>
      </c>
      <c r="AH42" s="18" t="str">
        <f aca="false">IF(LEN($L42)&lt;21,"",IF(ISNUMBER(FIND(MID($L42,21,1),"0123456789")),MID($L42,21,1),IF(ISNUMBER(FIND(MID($L42,21,1),"ABCDEFGHIJKLMNOPQRSTUVWXYZ")),CODE(MID($L42,21,1))-55,"#")))</f>
        <v/>
      </c>
      <c r="AI42" s="18" t="str">
        <f aca="false">IF(LEN($L42)&lt;22,"",IF(ISNUMBER(FIND(MID($L42,22,1),"0123456789")),MID($L42,22,1),IF(ISNUMBER(FIND(MID($L42,22,1),"ABCDEFGHIJKLMNOPQRSTUVWXYZ")),CODE(MID($L42,22,1))-55,"#")))</f>
        <v/>
      </c>
      <c r="AJ42" s="18" t="str">
        <f aca="false">IF(LEN($L42)&lt;23,"",IF(ISNUMBER(FIND(MID($L42,23,1),"0123456789")),MID($L42,23,1),IF(ISNUMBER(FIND(MID($L42,23,1),"ABCDEFGHIJKLMNOPQRSTUVWXYZ")),CODE(MID($L42,23,1))-55,"#")))</f>
        <v/>
      </c>
      <c r="AK42" s="18" t="str">
        <f aca="false">IF(LEN($L42)&lt;24,"",IF(ISNUMBER(FIND(MID($L42,24,1),"0123456789")),MID($L42,24,1),IF(ISNUMBER(FIND(MID($L42,24,1),"ABCDEFGHIJKLMNOPQRSTUVWXYZ")),CODE(MID($L42,24,1))-55,"#")))</f>
        <v/>
      </c>
      <c r="AL42" s="18" t="str">
        <f aca="false">IF(LEN($L42)&lt;25,"",IF(ISNUMBER(FIND(MID($L42,25,1),"0123456789")),MID($L42,25,1),IF(ISNUMBER(FIND(MID($L42,25,1),"ABCDEFGHIJKLMNOPQRSTUVWXYZ")),CODE(MID($L42,25,1))-55,"#")))</f>
        <v/>
      </c>
      <c r="AM42" s="18" t="str">
        <f aca="false">IF(LEN($L42)&lt;26,"",IF(ISNUMBER(FIND(MID($L42,26,1),"0123456789")),MID($L42,26,1),IF(ISNUMBER(FIND(MID($L42,26,1),"ABCDEFGHIJKLMNOPQRSTUVWXYZ")),CODE(MID($L42,26,1))-55,"#")))</f>
        <v/>
      </c>
      <c r="AN42" s="18" t="str">
        <f aca="false">IF(LEN($L42)&lt;27,"",IF(ISNUMBER(FIND(MID($L42,27,1),"0123456789")),MID($L42,27,1),IF(ISNUMBER(FIND(MID($L42,27,1),"ABCDEFGHIJKLMNOPQRSTUVWXYZ")),CODE(MID($L42,27,1))-55,"#")))</f>
        <v/>
      </c>
      <c r="AO42" s="18" t="str">
        <f aca="false">IF(LEN($L42)&lt;28,"",IF(ISNUMBER(FIND(MID($L42,28,1),"0123456789")),MID($L42,28,1),IF(ISNUMBER(FIND(MID($L42,28,1),"ABCDEFGHIJKLMNOPQRSTUVWXYZ")),CODE(MID($L42,28,1))-55,"#")))</f>
        <v/>
      </c>
      <c r="AP42" s="18" t="str">
        <f aca="false">IF(LEN($L42)&lt;29,"",IF(ISNUMBER(FIND(MID($L42,29,1),"0123456789")),MID($L42,29,1),IF(ISNUMBER(FIND(MID($L42,29,1),"ABCDEFGHIJKLMNOPQRSTUVWXYZ")),CODE(MID($L42,29,1))-55,"#")))</f>
        <v/>
      </c>
      <c r="AQ42" s="18" t="str">
        <f aca="false">IF(LEN($L42)&lt;30,"",IF(ISNUMBER(FIND(MID($L42,30,1),"0123456789")),MID($L42,30,1),IF(ISNUMBER(FIND(MID($L42,30,1),"ABCDEFGHIJKLMNOPQRSTUVWXYZ")),CODE(MID($L42,30,1))-55,"#")))</f>
        <v/>
      </c>
      <c r="AR42" s="18" t="str">
        <f aca="false">IF(LEN($L42)&lt;31,"",IF(ISNUMBER(FIND(MID($L42,31,1),"0123456789")),MID($L42,31,1),IF(ISNUMBER(FIND(MID($L42,31,1),"ABCDEFGHIJKLMNOPQRSTUVWXYZ")),CODE(MID($L42,31,1))-55,"#")))</f>
        <v/>
      </c>
      <c r="AS42" s="18" t="str">
        <f aca="false">IF(LEN($L42)&lt;32,"",IF(ISNUMBER(FIND(MID($L42,32,1),"0123456789")),MID($L42,32,1),IF(ISNUMBER(FIND(MID($L42,32,1),"ABCDEFGHIJKLMNOPQRSTUVWXYZ")),CODE(MID($L42,32,1))-55,"#")))</f>
        <v/>
      </c>
      <c r="AT42" s="18" t="str">
        <f aca="false">IF(LEN($L42)&lt;33,"",IF(ISNUMBER(FIND(MID($L42,33,1),"0123456789")),MID($L42,33,1),IF(ISNUMBER(FIND(MID($L42,33,1),"ABCDEFGHIJKLMNOPQRSTUVWXYZ")),CODE(MID($L42,33,1))-55,"#")))</f>
        <v/>
      </c>
      <c r="AU42" s="18" t="str">
        <f aca="false">IF(LEN($L42)&lt;34,"",IF(ISNUMBER(FIND(MID($L42,34,1),"0123456789")),MID($L42,34,1),IF(ISNUMBER(FIND(MID($L42,34,1),"ABCDEFGHIJKLMNOPQRSTUVWXYZ")),CODE(MID($L42,34,1))-55,"#")))</f>
        <v/>
      </c>
      <c r="AV42" s="18" t="str">
        <f aca="false">_xlfn.CONCAT(N42:AU42)</f>
        <v/>
      </c>
      <c r="AW42" s="18" t="str">
        <f aca="false">IF(OR(AV42="",M42=FALSE()),"",MOD(VALUE(MID(AV42,1,9)),97))</f>
        <v/>
      </c>
      <c r="AX42" s="18" t="str">
        <f aca="false">IF(AW42="","",MOD(VALUE(AW42&amp;MID(AV42,10,7)),97))</f>
        <v/>
      </c>
      <c r="AY42" s="18" t="str">
        <f aca="false">IF(AX42="","",MOD(VALUE(AX42&amp;MID(AV42,17,7)),97))</f>
        <v/>
      </c>
      <c r="AZ42" s="18" t="str">
        <f aca="false">IF(AY42="","",MOD(VALUE(AY42&amp;MID(AV42,24,7)),97))</f>
        <v/>
      </c>
      <c r="BA42" s="18" t="str">
        <f aca="false">IF(AZ42="","",MOD(VALUE(AZ42&amp;MID(AV42,31,7)),97))</f>
        <v/>
      </c>
      <c r="BB42" s="18" t="str">
        <f aca="false">IF(BA42="","",MOD(VALUE(BA42&amp;MID(AV42,38,7)),97))</f>
        <v/>
      </c>
      <c r="BC42" s="18" t="str">
        <f aca="false">IF(BB42="","",MOD(VALUE(BB42&amp;MID(AV42,45,7)),97))</f>
        <v/>
      </c>
      <c r="BD42" s="18" t="str">
        <f aca="false">IF(BC42="","",MOD(VALUE(BC42&amp;MID(AV42,52,7)),97))</f>
        <v/>
      </c>
      <c r="BE42" s="18" t="str">
        <f aca="false">IF(BD42="","",MOD(VALUE(BD42&amp;MID(AV42,59,7)),97))</f>
        <v/>
      </c>
      <c r="BF42" s="18" t="str">
        <f aca="false">IF(BE42="","",MOD(VALUE(BE42&amp;MID(AV42,66,7)),97))</f>
        <v/>
      </c>
    </row>
    <row r="43" customFormat="false" ht="15" hidden="false" customHeight="false" outlineLevel="0" collapsed="false">
      <c r="A43" s="11"/>
      <c r="B43" s="5" t="str">
        <f aca="false">UPPER(SUBSTITUTE(SUBSTITUTE(SUBSTITUTE(TRIM(A43)," ",""),"-",""),CHAR(160),""))</f>
        <v/>
      </c>
      <c r="C43" s="5" t="str">
        <f aca="false">IF(B43="","",LEN(B43))</f>
        <v/>
      </c>
      <c r="D43" s="5" t="str">
        <f aca="false">IF(B43="","",LEFT(B43,2))</f>
        <v/>
      </c>
      <c r="E43" s="5" t="str">
        <f aca="false">IF(B43="","",MID(B43,3,2))</f>
        <v/>
      </c>
      <c r="F43" s="5" t="str">
        <f aca="false">IF(B43="","",MID(B43,5,2))</f>
        <v/>
      </c>
      <c r="G43" s="5" t="str">
        <f aca="false">IF(B43="","",IFERROR(INDEX('رموز البنوك'!$C$5:$C$30,MATCH(F43,'رموز البنوك'!$B$5:$B$30,0)),"رمز غير معروف"))</f>
        <v/>
      </c>
      <c r="H43" s="5" t="str">
        <f aca="false">BF43</f>
        <v/>
      </c>
      <c r="I43" s="5" t="str">
        <f aca="false">IF(OR(H43="",NOT(AND(ISNUMBER(FIND(MID(B43,3,1),"0123456789")),ISNUMBER(FIND(MID(B43,4,1),"0123456789"))))),"",TEXT(98-MOD(H43-VALUE(E43),97),"00"))</f>
        <v/>
      </c>
      <c r="J43" s="4" t="str">
        <f aca="false">IF(B43="","",IF(LEFT(K43,10)="آيبان صحيح","صحيح ✓","غير صحيح ✗"))</f>
        <v/>
      </c>
      <c r="K43" s="10" t="str">
        <f aca="false">IF(B43="","",IF(M43=FALSE(),"يحتوي رموزاً غير مسموحة (المسموح A–Z و 0–9 فقط)",IF(D43&lt;&gt;"SA","رمز الدولة "&amp;D43&amp;" — هذا المدقق للآيبان السعودي SA",IF(C43&lt;&gt;24,"الطول "&amp;C43&amp;" خانة والمطلوب 24",IF(NOT(AND(ISNUMBER(FIND(MID(B43,3,1),"0123456789")),ISNUMBER(FIND(MID(B43,4,1),"0123456789")))),"خانتا التدقيق يجب أن تكونا رقمين",IF(ISERROR(VALUE(MID(B43,5,20))),"رمز البنك ورقم الحساب يجب أن يكونا أرقاماً",IF(H43&lt;&gt;1,"فشل اختبار MOD-97 (الباقي "&amp;H43&amp;" وليس 1) — خطأ في كتابة الرقم؛ خانتا التدقيق الصحيحتان لهذا الحساب "&amp;I43,IF(G43="رمز غير معروف","اجتاز MOD-97 لكن رمز البنك "&amp;F43&amp;" غير مسجل في جدول البنوك","آيبان صحيح — "&amp;G43))))))))</f>
        <v/>
      </c>
      <c r="L43" s="18" t="str">
        <f aca="false">IF(B43="","",MID(B43,5,40)&amp;LEFT(B43,4))</f>
        <v/>
      </c>
      <c r="M43" s="18" t="str">
        <f aca="false">IF(L43="","",NOT(ISNUMBER(FIND("#",AV43))))</f>
        <v/>
      </c>
      <c r="N43" s="18" t="str">
        <f aca="false">IF(LEN($L43)&lt;1,"",IF(ISNUMBER(FIND(MID($L43,1,1),"0123456789")),MID($L43,1,1),IF(ISNUMBER(FIND(MID($L43,1,1),"ABCDEFGHIJKLMNOPQRSTUVWXYZ")),CODE(MID($L43,1,1))-55,"#")))</f>
        <v/>
      </c>
      <c r="O43" s="18" t="str">
        <f aca="false">IF(LEN($L43)&lt;2,"",IF(ISNUMBER(FIND(MID($L43,2,1),"0123456789")),MID($L43,2,1),IF(ISNUMBER(FIND(MID($L43,2,1),"ABCDEFGHIJKLMNOPQRSTUVWXYZ")),CODE(MID($L43,2,1))-55,"#")))</f>
        <v/>
      </c>
      <c r="P43" s="18" t="str">
        <f aca="false">IF(LEN($L43)&lt;3,"",IF(ISNUMBER(FIND(MID($L43,3,1),"0123456789")),MID($L43,3,1),IF(ISNUMBER(FIND(MID($L43,3,1),"ABCDEFGHIJKLMNOPQRSTUVWXYZ")),CODE(MID($L43,3,1))-55,"#")))</f>
        <v/>
      </c>
      <c r="Q43" s="18" t="str">
        <f aca="false">IF(LEN($L43)&lt;4,"",IF(ISNUMBER(FIND(MID($L43,4,1),"0123456789")),MID($L43,4,1),IF(ISNUMBER(FIND(MID($L43,4,1),"ABCDEFGHIJKLMNOPQRSTUVWXYZ")),CODE(MID($L43,4,1))-55,"#")))</f>
        <v/>
      </c>
      <c r="R43" s="18" t="str">
        <f aca="false">IF(LEN($L43)&lt;5,"",IF(ISNUMBER(FIND(MID($L43,5,1),"0123456789")),MID($L43,5,1),IF(ISNUMBER(FIND(MID($L43,5,1),"ABCDEFGHIJKLMNOPQRSTUVWXYZ")),CODE(MID($L43,5,1))-55,"#")))</f>
        <v/>
      </c>
      <c r="S43" s="18" t="str">
        <f aca="false">IF(LEN($L43)&lt;6,"",IF(ISNUMBER(FIND(MID($L43,6,1),"0123456789")),MID($L43,6,1),IF(ISNUMBER(FIND(MID($L43,6,1),"ABCDEFGHIJKLMNOPQRSTUVWXYZ")),CODE(MID($L43,6,1))-55,"#")))</f>
        <v/>
      </c>
      <c r="T43" s="18" t="str">
        <f aca="false">IF(LEN($L43)&lt;7,"",IF(ISNUMBER(FIND(MID($L43,7,1),"0123456789")),MID($L43,7,1),IF(ISNUMBER(FIND(MID($L43,7,1),"ABCDEFGHIJKLMNOPQRSTUVWXYZ")),CODE(MID($L43,7,1))-55,"#")))</f>
        <v/>
      </c>
      <c r="U43" s="18" t="str">
        <f aca="false">IF(LEN($L43)&lt;8,"",IF(ISNUMBER(FIND(MID($L43,8,1),"0123456789")),MID($L43,8,1),IF(ISNUMBER(FIND(MID($L43,8,1),"ABCDEFGHIJKLMNOPQRSTUVWXYZ")),CODE(MID($L43,8,1))-55,"#")))</f>
        <v/>
      </c>
      <c r="V43" s="18" t="str">
        <f aca="false">IF(LEN($L43)&lt;9,"",IF(ISNUMBER(FIND(MID($L43,9,1),"0123456789")),MID($L43,9,1),IF(ISNUMBER(FIND(MID($L43,9,1),"ABCDEFGHIJKLMNOPQRSTUVWXYZ")),CODE(MID($L43,9,1))-55,"#")))</f>
        <v/>
      </c>
      <c r="W43" s="18" t="str">
        <f aca="false">IF(LEN($L43)&lt;10,"",IF(ISNUMBER(FIND(MID($L43,10,1),"0123456789")),MID($L43,10,1),IF(ISNUMBER(FIND(MID($L43,10,1),"ABCDEFGHIJKLMNOPQRSTUVWXYZ")),CODE(MID($L43,10,1))-55,"#")))</f>
        <v/>
      </c>
      <c r="X43" s="18" t="str">
        <f aca="false">IF(LEN($L43)&lt;11,"",IF(ISNUMBER(FIND(MID($L43,11,1),"0123456789")),MID($L43,11,1),IF(ISNUMBER(FIND(MID($L43,11,1),"ABCDEFGHIJKLMNOPQRSTUVWXYZ")),CODE(MID($L43,11,1))-55,"#")))</f>
        <v/>
      </c>
      <c r="Y43" s="18" t="str">
        <f aca="false">IF(LEN($L43)&lt;12,"",IF(ISNUMBER(FIND(MID($L43,12,1),"0123456789")),MID($L43,12,1),IF(ISNUMBER(FIND(MID($L43,12,1),"ABCDEFGHIJKLMNOPQRSTUVWXYZ")),CODE(MID($L43,12,1))-55,"#")))</f>
        <v/>
      </c>
      <c r="Z43" s="18" t="str">
        <f aca="false">IF(LEN($L43)&lt;13,"",IF(ISNUMBER(FIND(MID($L43,13,1),"0123456789")),MID($L43,13,1),IF(ISNUMBER(FIND(MID($L43,13,1),"ABCDEFGHIJKLMNOPQRSTUVWXYZ")),CODE(MID($L43,13,1))-55,"#")))</f>
        <v/>
      </c>
      <c r="AA43" s="18" t="str">
        <f aca="false">IF(LEN($L43)&lt;14,"",IF(ISNUMBER(FIND(MID($L43,14,1),"0123456789")),MID($L43,14,1),IF(ISNUMBER(FIND(MID($L43,14,1),"ABCDEFGHIJKLMNOPQRSTUVWXYZ")),CODE(MID($L43,14,1))-55,"#")))</f>
        <v/>
      </c>
      <c r="AB43" s="18" t="str">
        <f aca="false">IF(LEN($L43)&lt;15,"",IF(ISNUMBER(FIND(MID($L43,15,1),"0123456789")),MID($L43,15,1),IF(ISNUMBER(FIND(MID($L43,15,1),"ABCDEFGHIJKLMNOPQRSTUVWXYZ")),CODE(MID($L43,15,1))-55,"#")))</f>
        <v/>
      </c>
      <c r="AC43" s="18" t="str">
        <f aca="false">IF(LEN($L43)&lt;16,"",IF(ISNUMBER(FIND(MID($L43,16,1),"0123456789")),MID($L43,16,1),IF(ISNUMBER(FIND(MID($L43,16,1),"ABCDEFGHIJKLMNOPQRSTUVWXYZ")),CODE(MID($L43,16,1))-55,"#")))</f>
        <v/>
      </c>
      <c r="AD43" s="18" t="str">
        <f aca="false">IF(LEN($L43)&lt;17,"",IF(ISNUMBER(FIND(MID($L43,17,1),"0123456789")),MID($L43,17,1),IF(ISNUMBER(FIND(MID($L43,17,1),"ABCDEFGHIJKLMNOPQRSTUVWXYZ")),CODE(MID($L43,17,1))-55,"#")))</f>
        <v/>
      </c>
      <c r="AE43" s="18" t="str">
        <f aca="false">IF(LEN($L43)&lt;18,"",IF(ISNUMBER(FIND(MID($L43,18,1),"0123456789")),MID($L43,18,1),IF(ISNUMBER(FIND(MID($L43,18,1),"ABCDEFGHIJKLMNOPQRSTUVWXYZ")),CODE(MID($L43,18,1))-55,"#")))</f>
        <v/>
      </c>
      <c r="AF43" s="18" t="str">
        <f aca="false">IF(LEN($L43)&lt;19,"",IF(ISNUMBER(FIND(MID($L43,19,1),"0123456789")),MID($L43,19,1),IF(ISNUMBER(FIND(MID($L43,19,1),"ABCDEFGHIJKLMNOPQRSTUVWXYZ")),CODE(MID($L43,19,1))-55,"#")))</f>
        <v/>
      </c>
      <c r="AG43" s="18" t="str">
        <f aca="false">IF(LEN($L43)&lt;20,"",IF(ISNUMBER(FIND(MID($L43,20,1),"0123456789")),MID($L43,20,1),IF(ISNUMBER(FIND(MID($L43,20,1),"ABCDEFGHIJKLMNOPQRSTUVWXYZ")),CODE(MID($L43,20,1))-55,"#")))</f>
        <v/>
      </c>
      <c r="AH43" s="18" t="str">
        <f aca="false">IF(LEN($L43)&lt;21,"",IF(ISNUMBER(FIND(MID($L43,21,1),"0123456789")),MID($L43,21,1),IF(ISNUMBER(FIND(MID($L43,21,1),"ABCDEFGHIJKLMNOPQRSTUVWXYZ")),CODE(MID($L43,21,1))-55,"#")))</f>
        <v/>
      </c>
      <c r="AI43" s="18" t="str">
        <f aca="false">IF(LEN($L43)&lt;22,"",IF(ISNUMBER(FIND(MID($L43,22,1),"0123456789")),MID($L43,22,1),IF(ISNUMBER(FIND(MID($L43,22,1),"ABCDEFGHIJKLMNOPQRSTUVWXYZ")),CODE(MID($L43,22,1))-55,"#")))</f>
        <v/>
      </c>
      <c r="AJ43" s="18" t="str">
        <f aca="false">IF(LEN($L43)&lt;23,"",IF(ISNUMBER(FIND(MID($L43,23,1),"0123456789")),MID($L43,23,1),IF(ISNUMBER(FIND(MID($L43,23,1),"ABCDEFGHIJKLMNOPQRSTUVWXYZ")),CODE(MID($L43,23,1))-55,"#")))</f>
        <v/>
      </c>
      <c r="AK43" s="18" t="str">
        <f aca="false">IF(LEN($L43)&lt;24,"",IF(ISNUMBER(FIND(MID($L43,24,1),"0123456789")),MID($L43,24,1),IF(ISNUMBER(FIND(MID($L43,24,1),"ABCDEFGHIJKLMNOPQRSTUVWXYZ")),CODE(MID($L43,24,1))-55,"#")))</f>
        <v/>
      </c>
      <c r="AL43" s="18" t="str">
        <f aca="false">IF(LEN($L43)&lt;25,"",IF(ISNUMBER(FIND(MID($L43,25,1),"0123456789")),MID($L43,25,1),IF(ISNUMBER(FIND(MID($L43,25,1),"ABCDEFGHIJKLMNOPQRSTUVWXYZ")),CODE(MID($L43,25,1))-55,"#")))</f>
        <v/>
      </c>
      <c r="AM43" s="18" t="str">
        <f aca="false">IF(LEN($L43)&lt;26,"",IF(ISNUMBER(FIND(MID($L43,26,1),"0123456789")),MID($L43,26,1),IF(ISNUMBER(FIND(MID($L43,26,1),"ABCDEFGHIJKLMNOPQRSTUVWXYZ")),CODE(MID($L43,26,1))-55,"#")))</f>
        <v/>
      </c>
      <c r="AN43" s="18" t="str">
        <f aca="false">IF(LEN($L43)&lt;27,"",IF(ISNUMBER(FIND(MID($L43,27,1),"0123456789")),MID($L43,27,1),IF(ISNUMBER(FIND(MID($L43,27,1),"ABCDEFGHIJKLMNOPQRSTUVWXYZ")),CODE(MID($L43,27,1))-55,"#")))</f>
        <v/>
      </c>
      <c r="AO43" s="18" t="str">
        <f aca="false">IF(LEN($L43)&lt;28,"",IF(ISNUMBER(FIND(MID($L43,28,1),"0123456789")),MID($L43,28,1),IF(ISNUMBER(FIND(MID($L43,28,1),"ABCDEFGHIJKLMNOPQRSTUVWXYZ")),CODE(MID($L43,28,1))-55,"#")))</f>
        <v/>
      </c>
      <c r="AP43" s="18" t="str">
        <f aca="false">IF(LEN($L43)&lt;29,"",IF(ISNUMBER(FIND(MID($L43,29,1),"0123456789")),MID($L43,29,1),IF(ISNUMBER(FIND(MID($L43,29,1),"ABCDEFGHIJKLMNOPQRSTUVWXYZ")),CODE(MID($L43,29,1))-55,"#")))</f>
        <v/>
      </c>
      <c r="AQ43" s="18" t="str">
        <f aca="false">IF(LEN($L43)&lt;30,"",IF(ISNUMBER(FIND(MID($L43,30,1),"0123456789")),MID($L43,30,1),IF(ISNUMBER(FIND(MID($L43,30,1),"ABCDEFGHIJKLMNOPQRSTUVWXYZ")),CODE(MID($L43,30,1))-55,"#")))</f>
        <v/>
      </c>
      <c r="AR43" s="18" t="str">
        <f aca="false">IF(LEN($L43)&lt;31,"",IF(ISNUMBER(FIND(MID($L43,31,1),"0123456789")),MID($L43,31,1),IF(ISNUMBER(FIND(MID($L43,31,1),"ABCDEFGHIJKLMNOPQRSTUVWXYZ")),CODE(MID($L43,31,1))-55,"#")))</f>
        <v/>
      </c>
      <c r="AS43" s="18" t="str">
        <f aca="false">IF(LEN($L43)&lt;32,"",IF(ISNUMBER(FIND(MID($L43,32,1),"0123456789")),MID($L43,32,1),IF(ISNUMBER(FIND(MID($L43,32,1),"ABCDEFGHIJKLMNOPQRSTUVWXYZ")),CODE(MID($L43,32,1))-55,"#")))</f>
        <v/>
      </c>
      <c r="AT43" s="18" t="str">
        <f aca="false">IF(LEN($L43)&lt;33,"",IF(ISNUMBER(FIND(MID($L43,33,1),"0123456789")),MID($L43,33,1),IF(ISNUMBER(FIND(MID($L43,33,1),"ABCDEFGHIJKLMNOPQRSTUVWXYZ")),CODE(MID($L43,33,1))-55,"#")))</f>
        <v/>
      </c>
      <c r="AU43" s="18" t="str">
        <f aca="false">IF(LEN($L43)&lt;34,"",IF(ISNUMBER(FIND(MID($L43,34,1),"0123456789")),MID($L43,34,1),IF(ISNUMBER(FIND(MID($L43,34,1),"ABCDEFGHIJKLMNOPQRSTUVWXYZ")),CODE(MID($L43,34,1))-55,"#")))</f>
        <v/>
      </c>
      <c r="AV43" s="18" t="str">
        <f aca="false">_xlfn.CONCAT(N43:AU43)</f>
        <v/>
      </c>
      <c r="AW43" s="18" t="str">
        <f aca="false">IF(OR(AV43="",M43=FALSE()),"",MOD(VALUE(MID(AV43,1,9)),97))</f>
        <v/>
      </c>
      <c r="AX43" s="18" t="str">
        <f aca="false">IF(AW43="","",MOD(VALUE(AW43&amp;MID(AV43,10,7)),97))</f>
        <v/>
      </c>
      <c r="AY43" s="18" t="str">
        <f aca="false">IF(AX43="","",MOD(VALUE(AX43&amp;MID(AV43,17,7)),97))</f>
        <v/>
      </c>
      <c r="AZ43" s="18" t="str">
        <f aca="false">IF(AY43="","",MOD(VALUE(AY43&amp;MID(AV43,24,7)),97))</f>
        <v/>
      </c>
      <c r="BA43" s="18" t="str">
        <f aca="false">IF(AZ43="","",MOD(VALUE(AZ43&amp;MID(AV43,31,7)),97))</f>
        <v/>
      </c>
      <c r="BB43" s="18" t="str">
        <f aca="false">IF(BA43="","",MOD(VALUE(BA43&amp;MID(AV43,38,7)),97))</f>
        <v/>
      </c>
      <c r="BC43" s="18" t="str">
        <f aca="false">IF(BB43="","",MOD(VALUE(BB43&amp;MID(AV43,45,7)),97))</f>
        <v/>
      </c>
      <c r="BD43" s="18" t="str">
        <f aca="false">IF(BC43="","",MOD(VALUE(BC43&amp;MID(AV43,52,7)),97))</f>
        <v/>
      </c>
      <c r="BE43" s="18" t="str">
        <f aca="false">IF(BD43="","",MOD(VALUE(BD43&amp;MID(AV43,59,7)),97))</f>
        <v/>
      </c>
      <c r="BF43" s="18" t="str">
        <f aca="false">IF(BE43="","",MOD(VALUE(BE43&amp;MID(AV43,66,7)),97))</f>
        <v/>
      </c>
    </row>
    <row r="44" customFormat="false" ht="15" hidden="false" customHeight="false" outlineLevel="0" collapsed="false">
      <c r="A44" s="11"/>
      <c r="B44" s="5" t="str">
        <f aca="false">UPPER(SUBSTITUTE(SUBSTITUTE(SUBSTITUTE(TRIM(A44)," ",""),"-",""),CHAR(160),""))</f>
        <v/>
      </c>
      <c r="C44" s="5" t="str">
        <f aca="false">IF(B44="","",LEN(B44))</f>
        <v/>
      </c>
      <c r="D44" s="5" t="str">
        <f aca="false">IF(B44="","",LEFT(B44,2))</f>
        <v/>
      </c>
      <c r="E44" s="5" t="str">
        <f aca="false">IF(B44="","",MID(B44,3,2))</f>
        <v/>
      </c>
      <c r="F44" s="5" t="str">
        <f aca="false">IF(B44="","",MID(B44,5,2))</f>
        <v/>
      </c>
      <c r="G44" s="5" t="str">
        <f aca="false">IF(B44="","",IFERROR(INDEX('رموز البنوك'!$C$5:$C$30,MATCH(F44,'رموز البنوك'!$B$5:$B$30,0)),"رمز غير معروف"))</f>
        <v/>
      </c>
      <c r="H44" s="5" t="str">
        <f aca="false">BF44</f>
        <v/>
      </c>
      <c r="I44" s="5" t="str">
        <f aca="false">IF(OR(H44="",NOT(AND(ISNUMBER(FIND(MID(B44,3,1),"0123456789")),ISNUMBER(FIND(MID(B44,4,1),"0123456789"))))),"",TEXT(98-MOD(H44-VALUE(E44),97),"00"))</f>
        <v/>
      </c>
      <c r="J44" s="4" t="str">
        <f aca="false">IF(B44="","",IF(LEFT(K44,10)="آيبان صحيح","صحيح ✓","غير صحيح ✗"))</f>
        <v/>
      </c>
      <c r="K44" s="10" t="str">
        <f aca="false">IF(B44="","",IF(M44=FALSE(),"يحتوي رموزاً غير مسموحة (المسموح A–Z و 0–9 فقط)",IF(D44&lt;&gt;"SA","رمز الدولة "&amp;D44&amp;" — هذا المدقق للآيبان السعودي SA",IF(C44&lt;&gt;24,"الطول "&amp;C44&amp;" خانة والمطلوب 24",IF(NOT(AND(ISNUMBER(FIND(MID(B44,3,1),"0123456789")),ISNUMBER(FIND(MID(B44,4,1),"0123456789")))),"خانتا التدقيق يجب أن تكونا رقمين",IF(ISERROR(VALUE(MID(B44,5,20))),"رمز البنك ورقم الحساب يجب أن يكونا أرقاماً",IF(H44&lt;&gt;1,"فشل اختبار MOD-97 (الباقي "&amp;H44&amp;" وليس 1) — خطأ في كتابة الرقم؛ خانتا التدقيق الصحيحتان لهذا الحساب "&amp;I44,IF(G44="رمز غير معروف","اجتاز MOD-97 لكن رمز البنك "&amp;F44&amp;" غير مسجل في جدول البنوك","آيبان صحيح — "&amp;G44))))))))</f>
        <v/>
      </c>
      <c r="L44" s="18" t="str">
        <f aca="false">IF(B44="","",MID(B44,5,40)&amp;LEFT(B44,4))</f>
        <v/>
      </c>
      <c r="M44" s="18" t="str">
        <f aca="false">IF(L44="","",NOT(ISNUMBER(FIND("#",AV44))))</f>
        <v/>
      </c>
      <c r="N44" s="18" t="str">
        <f aca="false">IF(LEN($L44)&lt;1,"",IF(ISNUMBER(FIND(MID($L44,1,1),"0123456789")),MID($L44,1,1),IF(ISNUMBER(FIND(MID($L44,1,1),"ABCDEFGHIJKLMNOPQRSTUVWXYZ")),CODE(MID($L44,1,1))-55,"#")))</f>
        <v/>
      </c>
      <c r="O44" s="18" t="str">
        <f aca="false">IF(LEN($L44)&lt;2,"",IF(ISNUMBER(FIND(MID($L44,2,1),"0123456789")),MID($L44,2,1),IF(ISNUMBER(FIND(MID($L44,2,1),"ABCDEFGHIJKLMNOPQRSTUVWXYZ")),CODE(MID($L44,2,1))-55,"#")))</f>
        <v/>
      </c>
      <c r="P44" s="18" t="str">
        <f aca="false">IF(LEN($L44)&lt;3,"",IF(ISNUMBER(FIND(MID($L44,3,1),"0123456789")),MID($L44,3,1),IF(ISNUMBER(FIND(MID($L44,3,1),"ABCDEFGHIJKLMNOPQRSTUVWXYZ")),CODE(MID($L44,3,1))-55,"#")))</f>
        <v/>
      </c>
      <c r="Q44" s="18" t="str">
        <f aca="false">IF(LEN($L44)&lt;4,"",IF(ISNUMBER(FIND(MID($L44,4,1),"0123456789")),MID($L44,4,1),IF(ISNUMBER(FIND(MID($L44,4,1),"ABCDEFGHIJKLMNOPQRSTUVWXYZ")),CODE(MID($L44,4,1))-55,"#")))</f>
        <v/>
      </c>
      <c r="R44" s="18" t="str">
        <f aca="false">IF(LEN($L44)&lt;5,"",IF(ISNUMBER(FIND(MID($L44,5,1),"0123456789")),MID($L44,5,1),IF(ISNUMBER(FIND(MID($L44,5,1),"ABCDEFGHIJKLMNOPQRSTUVWXYZ")),CODE(MID($L44,5,1))-55,"#")))</f>
        <v/>
      </c>
      <c r="S44" s="18" t="str">
        <f aca="false">IF(LEN($L44)&lt;6,"",IF(ISNUMBER(FIND(MID($L44,6,1),"0123456789")),MID($L44,6,1),IF(ISNUMBER(FIND(MID($L44,6,1),"ABCDEFGHIJKLMNOPQRSTUVWXYZ")),CODE(MID($L44,6,1))-55,"#")))</f>
        <v/>
      </c>
      <c r="T44" s="18" t="str">
        <f aca="false">IF(LEN($L44)&lt;7,"",IF(ISNUMBER(FIND(MID($L44,7,1),"0123456789")),MID($L44,7,1),IF(ISNUMBER(FIND(MID($L44,7,1),"ABCDEFGHIJKLMNOPQRSTUVWXYZ")),CODE(MID($L44,7,1))-55,"#")))</f>
        <v/>
      </c>
      <c r="U44" s="18" t="str">
        <f aca="false">IF(LEN($L44)&lt;8,"",IF(ISNUMBER(FIND(MID($L44,8,1),"0123456789")),MID($L44,8,1),IF(ISNUMBER(FIND(MID($L44,8,1),"ABCDEFGHIJKLMNOPQRSTUVWXYZ")),CODE(MID($L44,8,1))-55,"#")))</f>
        <v/>
      </c>
      <c r="V44" s="18" t="str">
        <f aca="false">IF(LEN($L44)&lt;9,"",IF(ISNUMBER(FIND(MID($L44,9,1),"0123456789")),MID($L44,9,1),IF(ISNUMBER(FIND(MID($L44,9,1),"ABCDEFGHIJKLMNOPQRSTUVWXYZ")),CODE(MID($L44,9,1))-55,"#")))</f>
        <v/>
      </c>
      <c r="W44" s="18" t="str">
        <f aca="false">IF(LEN($L44)&lt;10,"",IF(ISNUMBER(FIND(MID($L44,10,1),"0123456789")),MID($L44,10,1),IF(ISNUMBER(FIND(MID($L44,10,1),"ABCDEFGHIJKLMNOPQRSTUVWXYZ")),CODE(MID($L44,10,1))-55,"#")))</f>
        <v/>
      </c>
      <c r="X44" s="18" t="str">
        <f aca="false">IF(LEN($L44)&lt;11,"",IF(ISNUMBER(FIND(MID($L44,11,1),"0123456789")),MID($L44,11,1),IF(ISNUMBER(FIND(MID($L44,11,1),"ABCDEFGHIJKLMNOPQRSTUVWXYZ")),CODE(MID($L44,11,1))-55,"#")))</f>
        <v/>
      </c>
      <c r="Y44" s="18" t="str">
        <f aca="false">IF(LEN($L44)&lt;12,"",IF(ISNUMBER(FIND(MID($L44,12,1),"0123456789")),MID($L44,12,1),IF(ISNUMBER(FIND(MID($L44,12,1),"ABCDEFGHIJKLMNOPQRSTUVWXYZ")),CODE(MID($L44,12,1))-55,"#")))</f>
        <v/>
      </c>
      <c r="Z44" s="18" t="str">
        <f aca="false">IF(LEN($L44)&lt;13,"",IF(ISNUMBER(FIND(MID($L44,13,1),"0123456789")),MID($L44,13,1),IF(ISNUMBER(FIND(MID($L44,13,1),"ABCDEFGHIJKLMNOPQRSTUVWXYZ")),CODE(MID($L44,13,1))-55,"#")))</f>
        <v/>
      </c>
      <c r="AA44" s="18" t="str">
        <f aca="false">IF(LEN($L44)&lt;14,"",IF(ISNUMBER(FIND(MID($L44,14,1),"0123456789")),MID($L44,14,1),IF(ISNUMBER(FIND(MID($L44,14,1),"ABCDEFGHIJKLMNOPQRSTUVWXYZ")),CODE(MID($L44,14,1))-55,"#")))</f>
        <v/>
      </c>
      <c r="AB44" s="18" t="str">
        <f aca="false">IF(LEN($L44)&lt;15,"",IF(ISNUMBER(FIND(MID($L44,15,1),"0123456789")),MID($L44,15,1),IF(ISNUMBER(FIND(MID($L44,15,1),"ABCDEFGHIJKLMNOPQRSTUVWXYZ")),CODE(MID($L44,15,1))-55,"#")))</f>
        <v/>
      </c>
      <c r="AC44" s="18" t="str">
        <f aca="false">IF(LEN($L44)&lt;16,"",IF(ISNUMBER(FIND(MID($L44,16,1),"0123456789")),MID($L44,16,1),IF(ISNUMBER(FIND(MID($L44,16,1),"ABCDEFGHIJKLMNOPQRSTUVWXYZ")),CODE(MID($L44,16,1))-55,"#")))</f>
        <v/>
      </c>
      <c r="AD44" s="18" t="str">
        <f aca="false">IF(LEN($L44)&lt;17,"",IF(ISNUMBER(FIND(MID($L44,17,1),"0123456789")),MID($L44,17,1),IF(ISNUMBER(FIND(MID($L44,17,1),"ABCDEFGHIJKLMNOPQRSTUVWXYZ")),CODE(MID($L44,17,1))-55,"#")))</f>
        <v/>
      </c>
      <c r="AE44" s="18" t="str">
        <f aca="false">IF(LEN($L44)&lt;18,"",IF(ISNUMBER(FIND(MID($L44,18,1),"0123456789")),MID($L44,18,1),IF(ISNUMBER(FIND(MID($L44,18,1),"ABCDEFGHIJKLMNOPQRSTUVWXYZ")),CODE(MID($L44,18,1))-55,"#")))</f>
        <v/>
      </c>
      <c r="AF44" s="18" t="str">
        <f aca="false">IF(LEN($L44)&lt;19,"",IF(ISNUMBER(FIND(MID($L44,19,1),"0123456789")),MID($L44,19,1),IF(ISNUMBER(FIND(MID($L44,19,1),"ABCDEFGHIJKLMNOPQRSTUVWXYZ")),CODE(MID($L44,19,1))-55,"#")))</f>
        <v/>
      </c>
      <c r="AG44" s="18" t="str">
        <f aca="false">IF(LEN($L44)&lt;20,"",IF(ISNUMBER(FIND(MID($L44,20,1),"0123456789")),MID($L44,20,1),IF(ISNUMBER(FIND(MID($L44,20,1),"ABCDEFGHIJKLMNOPQRSTUVWXYZ")),CODE(MID($L44,20,1))-55,"#")))</f>
        <v/>
      </c>
      <c r="AH44" s="18" t="str">
        <f aca="false">IF(LEN($L44)&lt;21,"",IF(ISNUMBER(FIND(MID($L44,21,1),"0123456789")),MID($L44,21,1),IF(ISNUMBER(FIND(MID($L44,21,1),"ABCDEFGHIJKLMNOPQRSTUVWXYZ")),CODE(MID($L44,21,1))-55,"#")))</f>
        <v/>
      </c>
      <c r="AI44" s="18" t="str">
        <f aca="false">IF(LEN($L44)&lt;22,"",IF(ISNUMBER(FIND(MID($L44,22,1),"0123456789")),MID($L44,22,1),IF(ISNUMBER(FIND(MID($L44,22,1),"ABCDEFGHIJKLMNOPQRSTUVWXYZ")),CODE(MID($L44,22,1))-55,"#")))</f>
        <v/>
      </c>
      <c r="AJ44" s="18" t="str">
        <f aca="false">IF(LEN($L44)&lt;23,"",IF(ISNUMBER(FIND(MID($L44,23,1),"0123456789")),MID($L44,23,1),IF(ISNUMBER(FIND(MID($L44,23,1),"ABCDEFGHIJKLMNOPQRSTUVWXYZ")),CODE(MID($L44,23,1))-55,"#")))</f>
        <v/>
      </c>
      <c r="AK44" s="18" t="str">
        <f aca="false">IF(LEN($L44)&lt;24,"",IF(ISNUMBER(FIND(MID($L44,24,1),"0123456789")),MID($L44,24,1),IF(ISNUMBER(FIND(MID($L44,24,1),"ABCDEFGHIJKLMNOPQRSTUVWXYZ")),CODE(MID($L44,24,1))-55,"#")))</f>
        <v/>
      </c>
      <c r="AL44" s="18" t="str">
        <f aca="false">IF(LEN($L44)&lt;25,"",IF(ISNUMBER(FIND(MID($L44,25,1),"0123456789")),MID($L44,25,1),IF(ISNUMBER(FIND(MID($L44,25,1),"ABCDEFGHIJKLMNOPQRSTUVWXYZ")),CODE(MID($L44,25,1))-55,"#")))</f>
        <v/>
      </c>
      <c r="AM44" s="18" t="str">
        <f aca="false">IF(LEN($L44)&lt;26,"",IF(ISNUMBER(FIND(MID($L44,26,1),"0123456789")),MID($L44,26,1),IF(ISNUMBER(FIND(MID($L44,26,1),"ABCDEFGHIJKLMNOPQRSTUVWXYZ")),CODE(MID($L44,26,1))-55,"#")))</f>
        <v/>
      </c>
      <c r="AN44" s="18" t="str">
        <f aca="false">IF(LEN($L44)&lt;27,"",IF(ISNUMBER(FIND(MID($L44,27,1),"0123456789")),MID($L44,27,1),IF(ISNUMBER(FIND(MID($L44,27,1),"ABCDEFGHIJKLMNOPQRSTUVWXYZ")),CODE(MID($L44,27,1))-55,"#")))</f>
        <v/>
      </c>
      <c r="AO44" s="18" t="str">
        <f aca="false">IF(LEN($L44)&lt;28,"",IF(ISNUMBER(FIND(MID($L44,28,1),"0123456789")),MID($L44,28,1),IF(ISNUMBER(FIND(MID($L44,28,1),"ABCDEFGHIJKLMNOPQRSTUVWXYZ")),CODE(MID($L44,28,1))-55,"#")))</f>
        <v/>
      </c>
      <c r="AP44" s="18" t="str">
        <f aca="false">IF(LEN($L44)&lt;29,"",IF(ISNUMBER(FIND(MID($L44,29,1),"0123456789")),MID($L44,29,1),IF(ISNUMBER(FIND(MID($L44,29,1),"ABCDEFGHIJKLMNOPQRSTUVWXYZ")),CODE(MID($L44,29,1))-55,"#")))</f>
        <v/>
      </c>
      <c r="AQ44" s="18" t="str">
        <f aca="false">IF(LEN($L44)&lt;30,"",IF(ISNUMBER(FIND(MID($L44,30,1),"0123456789")),MID($L44,30,1),IF(ISNUMBER(FIND(MID($L44,30,1),"ABCDEFGHIJKLMNOPQRSTUVWXYZ")),CODE(MID($L44,30,1))-55,"#")))</f>
        <v/>
      </c>
      <c r="AR44" s="18" t="str">
        <f aca="false">IF(LEN($L44)&lt;31,"",IF(ISNUMBER(FIND(MID($L44,31,1),"0123456789")),MID($L44,31,1),IF(ISNUMBER(FIND(MID($L44,31,1),"ABCDEFGHIJKLMNOPQRSTUVWXYZ")),CODE(MID($L44,31,1))-55,"#")))</f>
        <v/>
      </c>
      <c r="AS44" s="18" t="str">
        <f aca="false">IF(LEN($L44)&lt;32,"",IF(ISNUMBER(FIND(MID($L44,32,1),"0123456789")),MID($L44,32,1),IF(ISNUMBER(FIND(MID($L44,32,1),"ABCDEFGHIJKLMNOPQRSTUVWXYZ")),CODE(MID($L44,32,1))-55,"#")))</f>
        <v/>
      </c>
      <c r="AT44" s="18" t="str">
        <f aca="false">IF(LEN($L44)&lt;33,"",IF(ISNUMBER(FIND(MID($L44,33,1),"0123456789")),MID($L44,33,1),IF(ISNUMBER(FIND(MID($L44,33,1),"ABCDEFGHIJKLMNOPQRSTUVWXYZ")),CODE(MID($L44,33,1))-55,"#")))</f>
        <v/>
      </c>
      <c r="AU44" s="18" t="str">
        <f aca="false">IF(LEN($L44)&lt;34,"",IF(ISNUMBER(FIND(MID($L44,34,1),"0123456789")),MID($L44,34,1),IF(ISNUMBER(FIND(MID($L44,34,1),"ABCDEFGHIJKLMNOPQRSTUVWXYZ")),CODE(MID($L44,34,1))-55,"#")))</f>
        <v/>
      </c>
      <c r="AV44" s="18" t="str">
        <f aca="false">_xlfn.CONCAT(N44:AU44)</f>
        <v/>
      </c>
      <c r="AW44" s="18" t="str">
        <f aca="false">IF(OR(AV44="",M44=FALSE()),"",MOD(VALUE(MID(AV44,1,9)),97))</f>
        <v/>
      </c>
      <c r="AX44" s="18" t="str">
        <f aca="false">IF(AW44="","",MOD(VALUE(AW44&amp;MID(AV44,10,7)),97))</f>
        <v/>
      </c>
      <c r="AY44" s="18" t="str">
        <f aca="false">IF(AX44="","",MOD(VALUE(AX44&amp;MID(AV44,17,7)),97))</f>
        <v/>
      </c>
      <c r="AZ44" s="18" t="str">
        <f aca="false">IF(AY44="","",MOD(VALUE(AY44&amp;MID(AV44,24,7)),97))</f>
        <v/>
      </c>
      <c r="BA44" s="18" t="str">
        <f aca="false">IF(AZ44="","",MOD(VALUE(AZ44&amp;MID(AV44,31,7)),97))</f>
        <v/>
      </c>
      <c r="BB44" s="18" t="str">
        <f aca="false">IF(BA44="","",MOD(VALUE(BA44&amp;MID(AV44,38,7)),97))</f>
        <v/>
      </c>
      <c r="BC44" s="18" t="str">
        <f aca="false">IF(BB44="","",MOD(VALUE(BB44&amp;MID(AV44,45,7)),97))</f>
        <v/>
      </c>
      <c r="BD44" s="18" t="str">
        <f aca="false">IF(BC44="","",MOD(VALUE(BC44&amp;MID(AV44,52,7)),97))</f>
        <v/>
      </c>
      <c r="BE44" s="18" t="str">
        <f aca="false">IF(BD44="","",MOD(VALUE(BD44&amp;MID(AV44,59,7)),97))</f>
        <v/>
      </c>
      <c r="BF44" s="18" t="str">
        <f aca="false">IF(BE44="","",MOD(VALUE(BE44&amp;MID(AV44,66,7)),97))</f>
        <v/>
      </c>
    </row>
  </sheetData>
  <mergeCells count="1">
    <mergeCell ref="A2:J2"/>
  </mergeCells>
  <conditionalFormatting sqref="J5:J44">
    <cfRule type="expression" priority="2" aboveAverage="0" equalAverage="0" bottom="0" percent="0" rank="0" text="" dxfId="0">
      <formula>LEFT($J5,4)="صحيح"</formula>
    </cfRule>
    <cfRule type="expression" priority="3" aboveAverage="0" equalAverage="0" bottom="0" percent="0" rank="0" text="" dxfId="2">
      <formula>LEFT($J5,3)="غير"</formula>
    </cfRule>
  </conditionalFormatting>
  <dataValidations count="1">
    <dataValidation allowBlank="true" errorStyle="stop" operator="lessThanOrEqual" prompt="مثال: SA03 8000 0000 6080 1016 7519" promptTitle="الآيبان" showDropDown="false" showErrorMessage="false" showInputMessage="false" sqref="A5:A44" type="textLength">
      <formula1>42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2"/>
    <col collapsed="false" customWidth="true" hidden="false" outlineLevel="0" max="3" min="3" style="0" width="44"/>
  </cols>
  <sheetData>
    <row r="1" customFormat="false" ht="17.15" hidden="false" customHeight="false" outlineLevel="0" collapsed="false">
      <c r="A1" s="1" t="s">
        <v>234</v>
      </c>
    </row>
    <row r="2" customFormat="false" ht="15" hidden="false" customHeight="false" outlineLevel="0" collapsed="false">
      <c r="A2" s="2" t="s">
        <v>235</v>
      </c>
    </row>
    <row r="3" customFormat="false" ht="24" hidden="false" customHeight="true" outlineLevel="0" collapsed="false">
      <c r="A3" s="3" t="s">
        <v>236</v>
      </c>
      <c r="B3" s="3" t="s">
        <v>237</v>
      </c>
      <c r="C3" s="3" t="s">
        <v>176</v>
      </c>
    </row>
    <row r="4" customFormat="false" ht="15" hidden="false" customHeight="false" outlineLevel="0" collapsed="false">
      <c r="A4" s="5" t="s">
        <v>238</v>
      </c>
      <c r="B4" s="6" t="s">
        <v>239</v>
      </c>
      <c r="C4" s="20" t="s">
        <v>25</v>
      </c>
    </row>
    <row r="5" customFormat="false" ht="15" hidden="false" customHeight="false" outlineLevel="0" collapsed="false">
      <c r="A5" s="5" t="s">
        <v>240</v>
      </c>
      <c r="B5" s="6" t="s">
        <v>241</v>
      </c>
      <c r="C5" s="5" t="str">
        <f aca="false">UPPER(SUBSTITUTE(C4," ",""))</f>
        <v>SA0380000000608010167519</v>
      </c>
    </row>
    <row r="6" customFormat="false" ht="15" hidden="false" customHeight="false" outlineLevel="0" collapsed="false">
      <c r="A6" s="5" t="s">
        <v>242</v>
      </c>
      <c r="B6" s="6" t="s">
        <v>171</v>
      </c>
      <c r="C6" s="5" t="n">
        <f aca="false">LEN(C5)</f>
        <v>24</v>
      </c>
    </row>
    <row r="7" customFormat="false" ht="15" hidden="false" customHeight="false" outlineLevel="0" collapsed="false">
      <c r="A7" s="5" t="s">
        <v>243</v>
      </c>
      <c r="B7" s="6" t="s">
        <v>244</v>
      </c>
      <c r="C7" s="9" t="str">
        <f aca="false">MID(C5,5,40)&amp;LEFT(C5,4)</f>
        <v>80000000608010167519SA03</v>
      </c>
    </row>
    <row r="8" customFormat="false" ht="15" hidden="false" customHeight="false" outlineLevel="0" collapsed="false">
      <c r="A8" s="5" t="s">
        <v>245</v>
      </c>
      <c r="B8" s="6" t="s">
        <v>246</v>
      </c>
      <c r="C8" s="9" t="str">
        <f aca="false">MID(C7,1,20)&amp;(CODE(MID(C7,21,1))-55)&amp;(CODE(MID(C7,22,1))-55)&amp;MID(C7,23,2)</f>
        <v>80000000608010167519281003</v>
      </c>
    </row>
    <row r="9" customFormat="false" ht="15" hidden="false" customHeight="false" outlineLevel="0" collapsed="false">
      <c r="A9" s="5" t="s">
        <v>247</v>
      </c>
      <c r="B9" s="6" t="s">
        <v>248</v>
      </c>
      <c r="C9" s="5" t="n">
        <f aca="false">MOD(VALUE(MID(C8,1,9)),97)</f>
        <v>72</v>
      </c>
    </row>
    <row r="10" customFormat="false" ht="15" hidden="false" customHeight="false" outlineLevel="0" collapsed="false">
      <c r="A10" s="5" t="s">
        <v>249</v>
      </c>
      <c r="B10" s="6" t="s">
        <v>250</v>
      </c>
      <c r="C10" s="5" t="n">
        <f aca="false">MOD(VALUE(C9&amp;MID(C8,10,7)),97)</f>
        <v>30</v>
      </c>
    </row>
    <row r="11" customFormat="false" ht="15" hidden="false" customHeight="false" outlineLevel="0" collapsed="false">
      <c r="A11" s="5" t="s">
        <v>251</v>
      </c>
      <c r="B11" s="6" t="s">
        <v>250</v>
      </c>
      <c r="C11" s="5" t="n">
        <f aca="false">MOD(VALUE(C10&amp;MID(C8,17,7)),97)</f>
        <v>84</v>
      </c>
    </row>
    <row r="12" customFormat="false" ht="15" hidden="false" customHeight="false" outlineLevel="0" collapsed="false">
      <c r="A12" s="5" t="s">
        <v>252</v>
      </c>
      <c r="B12" s="6" t="s">
        <v>253</v>
      </c>
      <c r="C12" s="5" t="n">
        <f aca="false">MOD(VALUE(C11&amp;MID(C8,24,7)),97)</f>
        <v>1</v>
      </c>
    </row>
    <row r="13" customFormat="false" ht="15" hidden="false" customHeight="false" outlineLevel="0" collapsed="false">
      <c r="A13" s="5" t="s">
        <v>254</v>
      </c>
      <c r="B13" s="6" t="s">
        <v>255</v>
      </c>
      <c r="C13" s="4" t="str">
        <f aca="false">IF(AND(C6=24,C12=1),"صحيح ✓","غير صحيح ✗")</f>
        <v>صحيح ✓</v>
      </c>
    </row>
    <row r="15" customFormat="false" ht="15" hidden="false" customHeight="false" outlineLevel="0" collapsed="false">
      <c r="A15" s="4" t="s">
        <v>256</v>
      </c>
      <c r="B15" s="21" t="s">
        <v>257</v>
      </c>
      <c r="C15" s="5"/>
    </row>
    <row r="16" customFormat="false" ht="15" hidden="false" customHeight="false" outlineLevel="0" collapsed="false">
      <c r="A16" s="4" t="s">
        <v>258</v>
      </c>
      <c r="B16" s="6" t="s">
        <v>259</v>
      </c>
      <c r="C16" s="9" t="str">
        <f aca="false">MID(C5,5,20)&amp;"281000"</f>
        <v>80000000608010167519281000</v>
      </c>
    </row>
    <row r="17" customFormat="false" ht="15" hidden="false" customHeight="false" outlineLevel="0" collapsed="false">
      <c r="A17" s="4" t="s">
        <v>260</v>
      </c>
      <c r="B17" s="6" t="s">
        <v>261</v>
      </c>
      <c r="C17" s="5" t="n">
        <f aca="false">MOD(VALUE(MOD(VALUE(MOD(VALUE(MOD(VALUE(MID(C16,1,9)),97)&amp;MID(C16,10,7)),97)&amp;MID(C16,17,7)),97)&amp;MID(C16,24,7)),97)</f>
        <v>95</v>
      </c>
    </row>
    <row r="18" customFormat="false" ht="15" hidden="false" customHeight="false" outlineLevel="0" collapsed="false">
      <c r="A18" s="4" t="s">
        <v>262</v>
      </c>
      <c r="B18" s="6" t="s">
        <v>263</v>
      </c>
      <c r="C18" s="5" t="str">
        <f aca="false">TEXT(98-C17,"00")</f>
        <v>03</v>
      </c>
    </row>
    <row r="19" customFormat="false" ht="15" hidden="false" customHeight="false" outlineLevel="0" collapsed="false">
      <c r="A19" s="4" t="s">
        <v>264</v>
      </c>
      <c r="B19" s="6" t="s">
        <v>265</v>
      </c>
      <c r="C19" s="5" t="str">
        <f aca="false">"SA"&amp;C18&amp;MID(C5,5,20)</f>
        <v>SA0380000000608010167519</v>
      </c>
    </row>
    <row r="21" customFormat="false" ht="31.5" hidden="false" customHeight="true" outlineLevel="0" collapsed="false">
      <c r="A21" s="8" t="s">
        <v>266</v>
      </c>
      <c r="B21" s="8"/>
      <c r="C21" s="8"/>
    </row>
    <row r="22" customFormat="false" ht="31.5" hidden="false" customHeight="true" outlineLevel="0" collapsed="false">
      <c r="A22" s="8" t="s">
        <v>267</v>
      </c>
      <c r="B22" s="8"/>
      <c r="C22" s="8"/>
    </row>
    <row r="23" customFormat="false" ht="31.5" hidden="false" customHeight="true" outlineLevel="0" collapsed="false">
      <c r="A23" s="8" t="s">
        <v>268</v>
      </c>
      <c r="B23" s="8"/>
      <c r="C23" s="8"/>
    </row>
    <row r="24" customFormat="false" ht="31.5" hidden="false" customHeight="true" outlineLevel="0" collapsed="false">
      <c r="A24" s="8" t="s">
        <v>269</v>
      </c>
      <c r="B24" s="8"/>
      <c r="C24" s="8"/>
    </row>
  </sheetData>
  <mergeCells count="4">
    <mergeCell ref="A21:C21"/>
    <mergeCell ref="A22:C22"/>
    <mergeCell ref="A23:C23"/>
    <mergeCell ref="A24:C24"/>
  </mergeCells>
  <conditionalFormatting sqref="C13">
    <cfRule type="expression" priority="2" aboveAverage="0" equalAverage="0" bottom="0" percent="0" rank="0" text="" dxfId="0">
      <formula>LEFT($C$13,4)="صحيح"</formula>
    </cfRule>
    <cfRule type="expression" priority="3" aboveAverage="0" equalAverage="0" bottom="0" percent="0" rank="0" text="" dxfId="2">
      <formula>LEFT($C$13,3)="غير"</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12"/>
    <col collapsed="false" customWidth="true" hidden="false" outlineLevel="0" max="4" min="4" style="0" width="14"/>
    <col collapsed="false" customWidth="true" hidden="false" outlineLevel="0" max="5" min="5" style="0" width="12"/>
    <col collapsed="false" customWidth="true" hidden="false" outlineLevel="0" max="6" min="6" style="0" width="14"/>
    <col collapsed="false" customWidth="true" hidden="false" outlineLevel="0" max="7" min="7" style="0" width="34"/>
    <col collapsed="false" customWidth="true" hidden="false" outlineLevel="0" max="9" min="8" style="0" width="16"/>
    <col collapsed="false" customWidth="true" hidden="false" outlineLevel="0" max="10" min="10" style="0" width="52"/>
  </cols>
  <sheetData>
    <row r="1" customFormat="false" ht="17.15" hidden="false" customHeight="false" outlineLevel="0" collapsed="false">
      <c r="A1" s="1" t="s">
        <v>270</v>
      </c>
    </row>
    <row r="2" customFormat="false" ht="30" hidden="false" customHeight="true" outlineLevel="0" collapsed="false">
      <c r="A2" s="8" t="s">
        <v>271</v>
      </c>
      <c r="B2" s="8"/>
      <c r="C2" s="8"/>
      <c r="D2" s="8"/>
      <c r="E2" s="8"/>
      <c r="F2" s="8"/>
      <c r="G2" s="8"/>
      <c r="H2" s="8"/>
      <c r="I2" s="8"/>
      <c r="J2" s="8"/>
    </row>
    <row r="4" customFormat="false" ht="31.5" hidden="false" customHeight="true" outlineLevel="0" collapsed="false">
      <c r="A4" s="3" t="s">
        <v>272</v>
      </c>
      <c r="B4" s="3" t="s">
        <v>31</v>
      </c>
      <c r="C4" s="3" t="s">
        <v>273</v>
      </c>
      <c r="D4" s="3" t="s">
        <v>274</v>
      </c>
      <c r="E4" s="3" t="s">
        <v>275</v>
      </c>
      <c r="F4" s="3" t="s">
        <v>276</v>
      </c>
      <c r="G4" s="3" t="s">
        <v>277</v>
      </c>
      <c r="H4" s="3" t="s">
        <v>278</v>
      </c>
      <c r="I4" s="3" t="s">
        <v>279</v>
      </c>
      <c r="J4" s="3" t="s">
        <v>36</v>
      </c>
    </row>
    <row r="5" customFormat="false" ht="30" hidden="false" customHeight="true" outlineLevel="0" collapsed="false">
      <c r="A5" s="22" t="s">
        <v>280</v>
      </c>
      <c r="B5" s="23" t="s">
        <v>126</v>
      </c>
      <c r="C5" s="9" t="s">
        <v>17</v>
      </c>
      <c r="D5" s="9" t="s">
        <v>128</v>
      </c>
      <c r="E5" s="9" t="s">
        <v>17</v>
      </c>
      <c r="F5" s="9" t="s">
        <v>128</v>
      </c>
      <c r="G5" s="10" t="str">
        <f aca="false">IFERROR(INDEX('رموز البنوك'!$C$5:$C$30,MATCH(C5,'رموز البنوك'!$B$5:$B$30,0)),"غير مسجل في الجدول")</f>
        <v>مصرف الراجحي</v>
      </c>
      <c r="H5" s="4" t="str">
        <f aca="false">IF(E5="غير مؤكد","? غير مؤكد",IF(C5=E5,"✓ صحيح","✗ خطأ"))</f>
        <v>✓ صحيح</v>
      </c>
      <c r="I5" s="4" t="str">
        <f aca="false">IF(F5="غير مؤكد","? غير مؤكد",IF(D5=F5,"✓ صحيح","✗ خطأ"))</f>
        <v>✓ صحيح</v>
      </c>
      <c r="J5" s="10"/>
    </row>
    <row r="6" customFormat="false" ht="30" hidden="false" customHeight="true" outlineLevel="0" collapsed="false">
      <c r="A6" s="22" t="s">
        <v>280</v>
      </c>
      <c r="B6" s="23" t="s">
        <v>281</v>
      </c>
      <c r="C6" s="9" t="s">
        <v>49</v>
      </c>
      <c r="D6" s="9" t="s">
        <v>282</v>
      </c>
      <c r="E6" s="9" t="s">
        <v>49</v>
      </c>
      <c r="F6" s="9" t="s">
        <v>52</v>
      </c>
      <c r="G6" s="10" t="str">
        <f aca="false">IFERROR(INDEX('رموز البنوك'!$C$5:$C$30,MATCH(C6,'رموز البنوك'!$B$5:$B$30,0)),"غير مسجل في الجدول")</f>
        <v>البنك الأهلي السعودي</v>
      </c>
      <c r="H6" s="4" t="str">
        <f aca="false">IF(E6="غير مؤكد","? غير مؤكد",IF(C6=E6,"✓ صحيح","✗ خطأ"))</f>
        <v>✓ صحيح</v>
      </c>
      <c r="I6" s="4" t="str">
        <f aca="false">IF(F6="غير مؤكد","? غير مؤكد",IF(D6=F6,"✓ صحيح","✗ خطأ"))</f>
        <v>✗ خطأ</v>
      </c>
      <c r="J6" s="6" t="s">
        <v>283</v>
      </c>
    </row>
    <row r="7" customFormat="false" ht="30" hidden="false" customHeight="true" outlineLevel="0" collapsed="false">
      <c r="A7" s="22" t="s">
        <v>280</v>
      </c>
      <c r="B7" s="23" t="s">
        <v>59</v>
      </c>
      <c r="C7" s="9" t="s">
        <v>58</v>
      </c>
      <c r="D7" s="9" t="s">
        <v>284</v>
      </c>
      <c r="E7" s="9" t="s">
        <v>58</v>
      </c>
      <c r="F7" s="9" t="s">
        <v>61</v>
      </c>
      <c r="G7" s="10" t="str">
        <f aca="false">IFERROR(INDEX('رموز البنوك'!$C$5:$C$30,MATCH(C7,'رموز البنوك'!$B$5:$B$30,0)),"غير مسجل في الجدول")</f>
        <v>بنك الرياض</v>
      </c>
      <c r="H7" s="4" t="str">
        <f aca="false">IF(E7="غير مؤكد","? غير مؤكد",IF(C7=E7,"✓ صحيح","✗ خطأ"))</f>
        <v>✓ صحيح</v>
      </c>
      <c r="I7" s="4" t="str">
        <f aca="false">IF(F7="غير مؤكد","? غير مؤكد",IF(D7=F7,"✓ صحيح","✗ خطأ"))</f>
        <v>✗ خطأ</v>
      </c>
      <c r="J7" s="6" t="s">
        <v>285</v>
      </c>
    </row>
    <row r="8" customFormat="false" ht="30" hidden="false" customHeight="true" outlineLevel="0" collapsed="false">
      <c r="A8" s="22" t="s">
        <v>280</v>
      </c>
      <c r="B8" s="23" t="s">
        <v>44</v>
      </c>
      <c r="C8" s="9" t="s">
        <v>43</v>
      </c>
      <c r="D8" s="9" t="s">
        <v>46</v>
      </c>
      <c r="E8" s="9" t="s">
        <v>43</v>
      </c>
      <c r="F8" s="9" t="s">
        <v>46</v>
      </c>
      <c r="G8" s="10" t="str">
        <f aca="false">IFERROR(INDEX('رموز البنوك'!$C$5:$C$30,MATCH(C8,'رموز البنوك'!$B$5:$B$30,0)),"غير مسجل في الجدول")</f>
        <v>مصرف الإنماء</v>
      </c>
      <c r="H8" s="4" t="str">
        <f aca="false">IF(E8="غير مؤكد","? غير مؤكد",IF(C8=E8,"✓ صحيح","✗ خطأ"))</f>
        <v>✓ صحيح</v>
      </c>
      <c r="I8" s="4" t="str">
        <f aca="false">IF(F8="غير مؤكد","? غير مؤكد",IF(D8=F8,"✓ صحيح","✗ خطأ"))</f>
        <v>✓ صحيح</v>
      </c>
      <c r="J8" s="10"/>
    </row>
    <row r="9" customFormat="false" ht="30" hidden="false" customHeight="true" outlineLevel="0" collapsed="false">
      <c r="A9" s="22" t="s">
        <v>280</v>
      </c>
      <c r="B9" s="23" t="s">
        <v>55</v>
      </c>
      <c r="C9" s="9" t="s">
        <v>54</v>
      </c>
      <c r="D9" s="9" t="s">
        <v>286</v>
      </c>
      <c r="E9" s="9" t="s">
        <v>54</v>
      </c>
      <c r="F9" s="9" t="s">
        <v>57</v>
      </c>
      <c r="G9" s="10" t="str">
        <f aca="false">IFERROR(INDEX('رموز البنوك'!$C$5:$C$30,MATCH(C9,'رموز البنوك'!$B$5:$B$30,0)),"غير مسجل في الجدول")</f>
        <v>بنك البلاد</v>
      </c>
      <c r="H9" s="4" t="str">
        <f aca="false">IF(E9="غير مؤكد","? غير مؤكد",IF(C9=E9,"✓ صحيح","✗ خطأ"))</f>
        <v>✓ صحيح</v>
      </c>
      <c r="I9" s="4" t="str">
        <f aca="false">IF(F9="غير مؤكد","? غير مؤكد",IF(D9=F9,"✓ صحيح","✗ خطأ"))</f>
        <v>✗ خطأ</v>
      </c>
      <c r="J9" s="6" t="s">
        <v>287</v>
      </c>
    </row>
    <row r="10" customFormat="false" ht="30" hidden="false" customHeight="true" outlineLevel="0" collapsed="false">
      <c r="A10" s="22" t="s">
        <v>280</v>
      </c>
      <c r="B10" s="23" t="s">
        <v>288</v>
      </c>
      <c r="C10" s="9" t="s">
        <v>62</v>
      </c>
      <c r="D10" s="9" t="s">
        <v>65</v>
      </c>
      <c r="E10" s="9" t="s">
        <v>62</v>
      </c>
      <c r="F10" s="9" t="s">
        <v>65</v>
      </c>
      <c r="G10" s="10" t="str">
        <f aca="false">IFERROR(INDEX('رموز البنوك'!$C$5:$C$30,MATCH(C10,'رموز البنوك'!$B$5:$B$30,0)),"غير مسجل في الجدول")</f>
        <v>البنك العربي الوطني</v>
      </c>
      <c r="H10" s="4" t="str">
        <f aca="false">IF(E10="غير مؤكد","? غير مؤكد",IF(C10=E10,"✓ صحيح","✗ خطأ"))</f>
        <v>✓ صحيح</v>
      </c>
      <c r="I10" s="4" t="str">
        <f aca="false">IF(F10="غير مؤكد","? غير مؤكد",IF(D10=F10,"✓ صحيح","✗ خطأ"))</f>
        <v>✓ صحيح</v>
      </c>
      <c r="J10" s="10"/>
    </row>
    <row r="11" customFormat="false" ht="30" hidden="false" customHeight="true" outlineLevel="0" collapsed="false">
      <c r="A11" s="22" t="s">
        <v>280</v>
      </c>
      <c r="B11" s="23" t="s">
        <v>289</v>
      </c>
      <c r="C11" s="9" t="s">
        <v>290</v>
      </c>
      <c r="D11" s="9" t="s">
        <v>82</v>
      </c>
      <c r="E11" s="9" t="s">
        <v>79</v>
      </c>
      <c r="F11" s="9" t="s">
        <v>82</v>
      </c>
      <c r="G11" s="10" t="str">
        <f aca="false">IFERROR(INDEX('رموز البنوك'!$C$5:$C$30,MATCH(C11,'رموز البنوك'!$B$5:$B$30,0)),"غير مسجل في الجدول")</f>
        <v>غير مسجل في الجدول</v>
      </c>
      <c r="H11" s="4" t="str">
        <f aca="false">IF(E11="غير مؤكد","? غير مؤكد",IF(C11=E11,"✓ صحيح","✗ خطأ"))</f>
        <v>✗ خطأ</v>
      </c>
      <c r="I11" s="4" t="str">
        <f aca="false">IF(F11="غير مؤكد","? غير مؤكد",IF(D11=F11,"✓ صحيح","✗ خطأ"))</f>
        <v>✓ صحيح</v>
      </c>
      <c r="J11" s="10" t="s">
        <v>291</v>
      </c>
    </row>
    <row r="12" customFormat="false" ht="30" hidden="false" customHeight="true" outlineLevel="0" collapsed="false">
      <c r="A12" s="22" t="s">
        <v>280</v>
      </c>
      <c r="B12" s="23" t="s">
        <v>90</v>
      </c>
      <c r="C12" s="9" t="s">
        <v>89</v>
      </c>
      <c r="D12" s="9" t="s">
        <v>92</v>
      </c>
      <c r="E12" s="9" t="s">
        <v>89</v>
      </c>
      <c r="F12" s="9" t="s">
        <v>92</v>
      </c>
      <c r="G12" s="10" t="str">
        <f aca="false">IFERROR(INDEX('رموز البنوك'!$C$5:$C$30,MATCH(C12,'رموز البنوك'!$B$5:$B$30,0)),"غير مسجل في الجدول")</f>
        <v>البنك السعودي الفرنسي</v>
      </c>
      <c r="H12" s="4" t="str">
        <f aca="false">IF(E12="غير مؤكد","? غير مؤكد",IF(C12=E12,"✓ صحيح","✗ خطأ"))</f>
        <v>✓ صحيح</v>
      </c>
      <c r="I12" s="4" t="str">
        <f aca="false">IF(F12="غير مؤكد","? غير مؤكد",IF(D12=F12,"✓ صحيح","✗ خطأ"))</f>
        <v>✓ صحيح</v>
      </c>
      <c r="J12" s="10"/>
    </row>
    <row r="13" customFormat="false" ht="30" hidden="false" customHeight="true" outlineLevel="0" collapsed="false">
      <c r="A13" s="22" t="s">
        <v>280</v>
      </c>
      <c r="B13" s="23" t="s">
        <v>94</v>
      </c>
      <c r="C13" s="9" t="s">
        <v>93</v>
      </c>
      <c r="D13" s="9" t="s">
        <v>292</v>
      </c>
      <c r="E13" s="9" t="s">
        <v>93</v>
      </c>
      <c r="F13" s="9" t="s">
        <v>96</v>
      </c>
      <c r="G13" s="10" t="str">
        <f aca="false">IFERROR(INDEX('رموز البنوك'!$C$5:$C$30,MATCH(C13,'رموز البنوك'!$B$5:$B$30,0)),"غير مسجل في الجدول")</f>
        <v>بنك الجزيرة</v>
      </c>
      <c r="H13" s="4" t="str">
        <f aca="false">IF(E13="غير مؤكد","? غير مؤكد",IF(C13=E13,"✓ صحيح","✗ خطأ"))</f>
        <v>✓ صحيح</v>
      </c>
      <c r="I13" s="4" t="str">
        <f aca="false">IF(F13="غير مؤكد","? غير مؤكد",IF(D13=F13,"✓ صحيح","✗ خطأ"))</f>
        <v>✗ خطأ</v>
      </c>
      <c r="J13" s="6" t="s">
        <v>293</v>
      </c>
    </row>
    <row r="14" customFormat="false" ht="30" hidden="false" customHeight="true" outlineLevel="0" collapsed="false">
      <c r="A14" s="22" t="s">
        <v>280</v>
      </c>
      <c r="B14" s="23" t="s">
        <v>294</v>
      </c>
      <c r="C14" s="9" t="s">
        <v>97</v>
      </c>
      <c r="D14" s="9" t="s">
        <v>295</v>
      </c>
      <c r="E14" s="9" t="s">
        <v>97</v>
      </c>
      <c r="F14" s="9" t="s">
        <v>100</v>
      </c>
      <c r="G14" s="10" t="str">
        <f aca="false">IFERROR(INDEX('رموز البنوك'!$C$5:$C$30,MATCH(C14,'رموز البنوك'!$B$5:$B$30,0)),"غير مسجل في الجدول")</f>
        <v>البنك السعودي للاستثمار</v>
      </c>
      <c r="H14" s="4" t="str">
        <f aca="false">IF(E14="غير مؤكد","? غير مؤكد",IF(C14=E14,"✓ صحيح","✗ خطأ"))</f>
        <v>✓ صحيح</v>
      </c>
      <c r="I14" s="4" t="str">
        <f aca="false">IF(F14="غير مؤكد","? غير مؤكد",IF(D14=F14,"✓ صحيح","✗ خطأ"))</f>
        <v>✗ خطأ</v>
      </c>
      <c r="J14" s="6" t="s">
        <v>296</v>
      </c>
    </row>
    <row r="15" customFormat="false" ht="30" hidden="false" customHeight="true" outlineLevel="0" collapsed="false">
      <c r="A15" s="22" t="s">
        <v>297</v>
      </c>
      <c r="B15" s="23" t="s">
        <v>122</v>
      </c>
      <c r="C15" s="9" t="s">
        <v>117</v>
      </c>
      <c r="D15" s="9" t="s">
        <v>298</v>
      </c>
      <c r="E15" s="9" t="s">
        <v>121</v>
      </c>
      <c r="F15" s="9" t="s">
        <v>124</v>
      </c>
      <c r="G15" s="10" t="str">
        <f aca="false">IFERROR(INDEX('رموز البنوك'!$C$5:$C$30,MATCH(C15,'رموز البنوك'!$B$5:$B$30,0)),"غير مسجل في الجدول")</f>
        <v>بنك مسقط (فرع السعودية)</v>
      </c>
      <c r="H15" s="4" t="str">
        <f aca="false">IF(E15="غير مؤكد","? غير مؤكد",IF(C15=E15,"✓ صحيح","✗ خطأ"))</f>
        <v>✗ خطأ</v>
      </c>
      <c r="I15" s="4" t="str">
        <f aca="false">IF(F15="غير مؤكد","? غير مؤكد",IF(D15=F15,"✓ صحيح","✗ خطأ"))</f>
        <v>✗ خطأ</v>
      </c>
      <c r="J15" s="10" t="s">
        <v>299</v>
      </c>
    </row>
    <row r="16" customFormat="false" ht="30" hidden="false" customHeight="true" outlineLevel="0" collapsed="false">
      <c r="A16" s="22" t="s">
        <v>297</v>
      </c>
      <c r="B16" s="23" t="s">
        <v>300</v>
      </c>
      <c r="C16" s="9" t="s">
        <v>66</v>
      </c>
      <c r="D16" s="9" t="s">
        <v>301</v>
      </c>
      <c r="E16" s="9" t="s">
        <v>66</v>
      </c>
      <c r="F16" s="9" t="s">
        <v>69</v>
      </c>
      <c r="G16" s="10" t="str">
        <f aca="false">IFERROR(INDEX('رموز البنوك'!$C$5:$C$30,MATCH(C16,'رموز البنوك'!$B$5:$B$30,0)),"غير مسجل في الجدول")</f>
        <v>بنك دال ثلاثمائة وستون (D360)</v>
      </c>
      <c r="H16" s="4" t="str">
        <f aca="false">IF(E16="غير مؤكد","? غير مؤكد",IF(C16=E16,"✓ صحيح","✗ خطأ"))</f>
        <v>✓ صحيح</v>
      </c>
      <c r="I16" s="4" t="str">
        <f aca="false">IF(F16="غير مؤكد","? غير مؤكد",IF(D16=F16,"✓ صحيح","✗ خطأ"))</f>
        <v>✗ خطأ</v>
      </c>
      <c r="J16" s="6" t="s">
        <v>302</v>
      </c>
    </row>
    <row r="17" customFormat="false" ht="30" hidden="false" customHeight="true" outlineLevel="0" collapsed="false">
      <c r="A17" s="22" t="s">
        <v>303</v>
      </c>
      <c r="B17" s="23" t="s">
        <v>304</v>
      </c>
      <c r="C17" s="9" t="s">
        <v>107</v>
      </c>
      <c r="D17" s="9" t="s">
        <v>110</v>
      </c>
      <c r="E17" s="9" t="s">
        <v>107</v>
      </c>
      <c r="F17" s="9" t="s">
        <v>110</v>
      </c>
      <c r="G17" s="10" t="str">
        <f aca="false">IFERROR(INDEX('رموز البنوك'!$C$5:$C$30,MATCH(C17,'رموز البنوك'!$B$5:$B$30,0)),"غير مسجل في الجدول")</f>
        <v>بنك أبوظبي الأول (فرع السعودية)</v>
      </c>
      <c r="H17" s="4" t="str">
        <f aca="false">IF(E17="غير مؤكد","? غير مؤكد",IF(C17=E17,"✓ صحيح","✗ خطأ"))</f>
        <v>✓ صحيح</v>
      </c>
      <c r="I17" s="4" t="str">
        <f aca="false">IF(F17="غير مؤكد","? غير مؤكد",IF(D17=F17,"✓ صحيح","✗ خطأ"))</f>
        <v>✓ صحيح</v>
      </c>
      <c r="J17" s="6" t="s">
        <v>305</v>
      </c>
    </row>
    <row r="18" customFormat="false" ht="30" hidden="false" customHeight="true" outlineLevel="0" collapsed="false">
      <c r="A18" s="22" t="s">
        <v>303</v>
      </c>
      <c r="B18" s="23" t="s">
        <v>306</v>
      </c>
      <c r="C18" s="9" t="s">
        <v>113</v>
      </c>
      <c r="D18" s="9" t="s">
        <v>116</v>
      </c>
      <c r="E18" s="9" t="s">
        <v>113</v>
      </c>
      <c r="F18" s="9" t="s">
        <v>116</v>
      </c>
      <c r="G18" s="10" t="str">
        <f aca="false">IFERROR(INDEX('رموز البنوك'!$C$5:$C$30,MATCH(C18,'رموز البنوك'!$B$5:$B$30,0)),"غير مسجل في الجدول")</f>
        <v>بنك الكويت الوطني (فرع السعودية)</v>
      </c>
      <c r="H18" s="4" t="str">
        <f aca="false">IF(E18="غير مؤكد","? غير مؤكد",IF(C18=E18,"✓ صحيح","✗ خطأ"))</f>
        <v>✓ صحيح</v>
      </c>
      <c r="I18" s="4" t="str">
        <f aca="false">IF(F18="غير مؤكد","? غير مؤكد",IF(D18=F18,"✓ صحيح","✗ خطأ"))</f>
        <v>✓ صحيح</v>
      </c>
      <c r="J18" s="10"/>
    </row>
    <row r="19" customFormat="false" ht="30" hidden="false" customHeight="true" outlineLevel="0" collapsed="false">
      <c r="A19" s="22" t="s">
        <v>303</v>
      </c>
      <c r="B19" s="23" t="s">
        <v>307</v>
      </c>
      <c r="C19" s="9" t="s">
        <v>161</v>
      </c>
      <c r="D19" s="9" t="s">
        <v>116</v>
      </c>
      <c r="E19" s="9" t="s">
        <v>113</v>
      </c>
      <c r="F19" s="9" t="s">
        <v>116</v>
      </c>
      <c r="G19" s="10" t="str">
        <f aca="false">IFERROR(INDEX('رموز البنوك'!$C$5:$C$30,MATCH(C19,'رموز البنوك'!$B$5:$B$30,0)),"غير مسجل في الجدول")</f>
        <v>بنك الإمارات دبي الوطني (فرع السعودية)</v>
      </c>
      <c r="H19" s="4" t="str">
        <f aca="false">IF(E19="غير مؤكد","? غير مؤكد",IF(C19=E19,"✓ صحيح","✗ خطأ"))</f>
        <v>✗ خطأ</v>
      </c>
      <c r="I19" s="4" t="str">
        <f aca="false">IF(F19="غير مؤكد","? غير مؤكد",IF(D19=F19,"✓ صحيح","✗ خطأ"))</f>
        <v>✓ صحيح</v>
      </c>
      <c r="J19" s="10" t="s">
        <v>308</v>
      </c>
    </row>
    <row r="20" customFormat="false" ht="30" hidden="false" customHeight="true" outlineLevel="0" collapsed="false">
      <c r="A20" s="22" t="s">
        <v>303</v>
      </c>
      <c r="B20" s="23" t="s">
        <v>309</v>
      </c>
      <c r="C20" s="9" t="s">
        <v>101</v>
      </c>
      <c r="D20" s="9" t="s">
        <v>164</v>
      </c>
      <c r="E20" s="9" t="s">
        <v>161</v>
      </c>
      <c r="F20" s="9" t="s">
        <v>164</v>
      </c>
      <c r="G20" s="10" t="str">
        <f aca="false">IFERROR(INDEX('رموز البنوك'!$C$5:$C$30,MATCH(C20,'رموز البنوك'!$B$5:$B$30,0)),"غير مسجل في الجدول")</f>
        <v>بنك البحرين الوطني (فرع السعودية)</v>
      </c>
      <c r="H20" s="4" t="str">
        <f aca="false">IF(E20="غير مؤكد","? غير مؤكد",IF(C20=E20,"✓ صحيح","✗ خطأ"))</f>
        <v>✗ خطأ</v>
      </c>
      <c r="I20" s="4" t="str">
        <f aca="false">IF(F20="غير مؤكد","? غير مؤكد",IF(D20=F20,"✓ صحيح","✗ خطأ"))</f>
        <v>✓ صحيح</v>
      </c>
      <c r="J20" s="10" t="s">
        <v>310</v>
      </c>
    </row>
    <row r="21" customFormat="false" ht="30" hidden="false" customHeight="true" outlineLevel="0" collapsed="false">
      <c r="A21" s="22" t="s">
        <v>303</v>
      </c>
      <c r="B21" s="23" t="s">
        <v>311</v>
      </c>
      <c r="C21" s="9" t="s">
        <v>312</v>
      </c>
      <c r="D21" s="9" t="s">
        <v>160</v>
      </c>
      <c r="E21" s="9" t="s">
        <v>157</v>
      </c>
      <c r="F21" s="22" t="s">
        <v>313</v>
      </c>
      <c r="G21" s="10" t="str">
        <f aca="false">IFERROR(INDEX('رموز البنوك'!$C$5:$C$30,MATCH(C21,'رموز البنوك'!$B$5:$B$30,0)),"غير مسجل في الجدول")</f>
        <v>غير مسجل في الجدول</v>
      </c>
      <c r="H21" s="4" t="str">
        <f aca="false">IF(E21="غير مؤكد","? غير مؤكد",IF(C21=E21,"✓ صحيح","✗ خطأ"))</f>
        <v>✗ خطأ</v>
      </c>
      <c r="I21" s="4" t="str">
        <f aca="false">IF(F21="غير مؤكد","? غير مؤكد",IF(D21=F21,"✓ صحيح","✗ خطأ"))</f>
        <v>? غير مؤكد</v>
      </c>
      <c r="J21" s="10" t="s">
        <v>314</v>
      </c>
    </row>
    <row r="22" customFormat="false" ht="30" hidden="false" customHeight="true" outlineLevel="0" collapsed="false">
      <c r="A22" s="22" t="s">
        <v>303</v>
      </c>
      <c r="B22" s="23" t="s">
        <v>315</v>
      </c>
      <c r="C22" s="9" t="s">
        <v>157</v>
      </c>
      <c r="D22" s="9" t="s">
        <v>316</v>
      </c>
      <c r="E22" s="9" t="s">
        <v>117</v>
      </c>
      <c r="F22" s="9" t="s">
        <v>120</v>
      </c>
      <c r="G22" s="10" t="str">
        <f aca="false">IFERROR(INDEX('رموز البنوك'!$C$5:$C$30,MATCH(C22,'رموز البنوك'!$B$5:$B$30,0)),"غير مسجل في الجدول")</f>
        <v>بنك الخليج الدولي</v>
      </c>
      <c r="H22" s="4" t="str">
        <f aca="false">IF(E22="غير مؤكد","? غير مؤكد",IF(C22=E22,"✓ صحيح","✗ خطأ"))</f>
        <v>✗ خطأ</v>
      </c>
      <c r="I22" s="4" t="str">
        <f aca="false">IF(F22="غير مؤكد","? غير مؤكد",IF(D22=F22,"✓ صحيح","✗ خطأ"))</f>
        <v>✗ خطأ</v>
      </c>
      <c r="J22" s="10" t="s">
        <v>317</v>
      </c>
    </row>
    <row r="23" customFormat="false" ht="30" hidden="false" customHeight="true" outlineLevel="0" collapsed="false">
      <c r="A23" s="22" t="s">
        <v>303</v>
      </c>
      <c r="B23" s="23" t="s">
        <v>318</v>
      </c>
      <c r="C23" s="9" t="s">
        <v>147</v>
      </c>
      <c r="D23" s="9" t="s">
        <v>319</v>
      </c>
      <c r="E23" s="9" t="s">
        <v>101</v>
      </c>
      <c r="F23" s="9" t="s">
        <v>104</v>
      </c>
      <c r="G23" s="10" t="str">
        <f aca="false">IFERROR(INDEX('رموز البنوك'!$C$5:$C$30,MATCH(C23,'رموز البنوك'!$B$5:$B$30,0)),"غير مسجل في الجدول")</f>
        <v>بي إن بي باريبا (فرع السعودية)</v>
      </c>
      <c r="H23" s="4" t="str">
        <f aca="false">IF(E23="غير مؤكد","? غير مؤكد",IF(C23=E23,"✓ صحيح","✗ خطأ"))</f>
        <v>✗ خطأ</v>
      </c>
      <c r="I23" s="4" t="str">
        <f aca="false">IF(F23="غير مؤكد","? غير مؤكد",IF(D23=F23,"✓ صحيح","✗ خطأ"))</f>
        <v>✗ خطأ</v>
      </c>
      <c r="J23" s="10" t="s">
        <v>320</v>
      </c>
    </row>
    <row r="24" customFormat="false" ht="30" hidden="false" customHeight="true" outlineLevel="0" collapsed="false">
      <c r="A24" s="22" t="s">
        <v>303</v>
      </c>
      <c r="B24" s="23" t="s">
        <v>321</v>
      </c>
      <c r="C24" s="9" t="s">
        <v>121</v>
      </c>
      <c r="D24" s="9" t="s">
        <v>322</v>
      </c>
      <c r="E24" s="9" t="s">
        <v>152</v>
      </c>
      <c r="F24" s="22" t="s">
        <v>313</v>
      </c>
      <c r="G24" s="10" t="str">
        <f aca="false">IFERROR(INDEX('رموز البنوك'!$C$5:$C$30,MATCH(C24,'رموز البنوك'!$B$5:$B$30,0)),"غير مسجل في الجدول")</f>
        <v>بنك إس تي سي (STC Bank)</v>
      </c>
      <c r="H24" s="4" t="str">
        <f aca="false">IF(E24="غير مؤكد","? غير مؤكد",IF(C24=E24,"✓ صحيح","✗ خطأ"))</f>
        <v>✗ خطأ</v>
      </c>
      <c r="I24" s="4" t="str">
        <f aca="false">IF(F24="غير مؤكد","? غير مؤكد",IF(D24=F24,"✓ صحيح","✗ خطأ"))</f>
        <v>? غير مؤكد</v>
      </c>
      <c r="J24" s="10" t="s">
        <v>323</v>
      </c>
    </row>
    <row r="25" customFormat="false" ht="30" hidden="false" customHeight="true" outlineLevel="0" collapsed="false">
      <c r="A25" s="22" t="s">
        <v>303</v>
      </c>
      <c r="B25" s="23" t="s">
        <v>324</v>
      </c>
      <c r="C25" s="9" t="s">
        <v>325</v>
      </c>
      <c r="D25" s="9" t="s">
        <v>150</v>
      </c>
      <c r="E25" s="9" t="s">
        <v>147</v>
      </c>
      <c r="F25" s="22" t="s">
        <v>313</v>
      </c>
      <c r="G25" s="10" t="str">
        <f aca="false">IFERROR(INDEX('رموز البنوك'!$C$5:$C$30,MATCH(C25,'رموز البنوك'!$B$5:$B$30,0)),"غير مسجل في الجدول")</f>
        <v>غير مسجل في الجدول</v>
      </c>
      <c r="H25" s="4" t="str">
        <f aca="false">IF(E25="غير مؤكد","? غير مؤكد",IF(C25=E25,"✓ صحيح","✗ خطأ"))</f>
        <v>✗ خطأ</v>
      </c>
      <c r="I25" s="4" t="str">
        <f aca="false">IF(F25="غير مؤكد","? غير مؤكد",IF(D25=F25,"✓ صحيح","✗ خطأ"))</f>
        <v>? غير مؤكد</v>
      </c>
      <c r="J25" s="10"/>
    </row>
    <row r="26" customFormat="false" ht="30" hidden="false" customHeight="true" outlineLevel="0" collapsed="false">
      <c r="A26" s="22" t="s">
        <v>303</v>
      </c>
      <c r="B26" s="23" t="s">
        <v>326</v>
      </c>
      <c r="C26" s="9" t="s">
        <v>327</v>
      </c>
      <c r="D26" s="9" t="s">
        <v>328</v>
      </c>
      <c r="E26" s="22" t="s">
        <v>313</v>
      </c>
      <c r="F26" s="22" t="s">
        <v>313</v>
      </c>
      <c r="G26" s="10" t="str">
        <f aca="false">IFERROR(INDEX('رموز البنوك'!$C$5:$C$30,MATCH(C26,'رموز البنوك'!$B$5:$B$30,0)),"غير مسجل في الجدول")</f>
        <v>غير مسجل في الجدول</v>
      </c>
      <c r="H26" s="4" t="str">
        <f aca="false">IF(E26="غير مؤكد","? غير مؤكد",IF(C26=E26,"✓ صحيح","✗ خطأ"))</f>
        <v>? غير مؤكد</v>
      </c>
      <c r="I26" s="4" t="str">
        <f aca="false">IF(F26="غير مؤكد","? غير مؤكد",IF(D26=F26,"✓ صحيح","✗ خطأ"))</f>
        <v>? غير مؤكد</v>
      </c>
      <c r="J26" s="6" t="s">
        <v>329</v>
      </c>
    </row>
    <row r="27" customFormat="false" ht="30" hidden="false" customHeight="true" outlineLevel="0" collapsed="false">
      <c r="A27" s="22" t="s">
        <v>303</v>
      </c>
      <c r="B27" s="23" t="s">
        <v>330</v>
      </c>
      <c r="C27" s="9" t="s">
        <v>331</v>
      </c>
      <c r="D27" s="9" t="s">
        <v>332</v>
      </c>
      <c r="E27" s="22" t="s">
        <v>313</v>
      </c>
      <c r="F27" s="22" t="s">
        <v>313</v>
      </c>
      <c r="G27" s="10" t="str">
        <f aca="false">IFERROR(INDEX('رموز البنوك'!$C$5:$C$30,MATCH(C27,'رموز البنوك'!$B$5:$B$30,0)),"غير مسجل في الجدول")</f>
        <v>غير مسجل في الجدول</v>
      </c>
      <c r="H27" s="4" t="str">
        <f aca="false">IF(E27="غير مؤكد","? غير مؤكد",IF(C27=E27,"✓ صحيح","✗ خطأ"))</f>
        <v>? غير مؤكد</v>
      </c>
      <c r="I27" s="4" t="str">
        <f aca="false">IF(F27="غير مؤكد","? غير مؤكد",IF(D27=F27,"✓ صحيح","✗ خطأ"))</f>
        <v>? غير مؤكد</v>
      </c>
      <c r="J27" s="6" t="s">
        <v>329</v>
      </c>
    </row>
    <row r="29" customFormat="false" ht="15" hidden="false" customHeight="false" outlineLevel="0" collapsed="false">
      <c r="A29" s="24" t="s">
        <v>333</v>
      </c>
    </row>
    <row r="30" customFormat="false" ht="15" hidden="false" customHeight="false" outlineLevel="0" collapsed="false">
      <c r="A30" s="5"/>
      <c r="B30" s="4" t="s">
        <v>334</v>
      </c>
      <c r="C30" s="5" t="n">
        <f aca="false">COUNTIF(H5:H27,"✓*")</f>
        <v>12</v>
      </c>
    </row>
    <row r="31" customFormat="false" ht="15" hidden="false" customHeight="false" outlineLevel="0" collapsed="false">
      <c r="A31" s="5"/>
      <c r="B31" s="4" t="s">
        <v>335</v>
      </c>
      <c r="C31" s="5" t="n">
        <f aca="false">COUNTIF(H5:H27,"✗*")</f>
        <v>9</v>
      </c>
    </row>
    <row r="32" customFormat="false" ht="15" hidden="false" customHeight="false" outlineLevel="0" collapsed="false">
      <c r="A32" s="5"/>
      <c r="B32" s="4" t="s">
        <v>336</v>
      </c>
      <c r="C32" s="5" t="n">
        <f aca="false">COUNTIF(H5:H27,"~?*")</f>
        <v>2</v>
      </c>
    </row>
    <row r="33" customFormat="false" ht="15" hidden="false" customHeight="false" outlineLevel="0" collapsed="false">
      <c r="A33" s="5"/>
      <c r="B33" s="4" t="s">
        <v>337</v>
      </c>
      <c r="C33" s="5" t="n">
        <f aca="false">COUNTIF(I5:I27,"✓*")</f>
        <v>9</v>
      </c>
    </row>
    <row r="34" customFormat="false" ht="15" hidden="false" customHeight="false" outlineLevel="0" collapsed="false">
      <c r="A34" s="5"/>
      <c r="B34" s="4" t="s">
        <v>338</v>
      </c>
      <c r="C34" s="5" t="n">
        <f aca="false">COUNTIF(I5:I27,"✗*")</f>
        <v>9</v>
      </c>
    </row>
    <row r="35" customFormat="false" ht="15" hidden="false" customHeight="false" outlineLevel="0" collapsed="false">
      <c r="A35" s="5"/>
      <c r="B35" s="4" t="s">
        <v>339</v>
      </c>
      <c r="C35" s="5" t="n">
        <f aca="false">COUNTIF(I5:I27,"~?*")</f>
        <v>5</v>
      </c>
    </row>
    <row r="37" customFormat="false" ht="30" hidden="false" customHeight="true" outlineLevel="0" collapsed="false">
      <c r="A37" s="7" t="s">
        <v>340</v>
      </c>
      <c r="B37" s="7"/>
      <c r="C37" s="7"/>
      <c r="D37" s="7"/>
      <c r="E37" s="7"/>
      <c r="F37" s="7"/>
      <c r="G37" s="7"/>
      <c r="H37" s="7"/>
      <c r="I37" s="7"/>
      <c r="J37" s="7"/>
    </row>
  </sheetData>
  <mergeCells count="2">
    <mergeCell ref="A2:J2"/>
    <mergeCell ref="A37:J37"/>
  </mergeCells>
  <conditionalFormatting sqref="H5:I27">
    <cfRule type="expression" priority="2" aboveAverage="0" equalAverage="0" bottom="0" percent="0" rank="0" text="" dxfId="0">
      <formula>LEFT(H5,1)="✓"</formula>
    </cfRule>
    <cfRule type="expression" priority="3" aboveAverage="0" equalAverage="0" bottom="0" percent="0" rank="0" text="" dxfId="2">
      <formula>LEFT(H5,1)="✗"</formula>
    </cfRule>
    <cfRule type="expression" priority="4" aboveAverage="0" equalAverage="0" bottom="0" percent="0" rank="0" text="" dxfId="1">
      <formula>LEFT(H5,1)="?"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2026-10-31T21:56:00Z</dcterms:created>
  <dc:creator>openpyxl</dc:creator>
  <dc:description/>
  <dc:language>en-US</dc:language>
  <cp:lastModifiedBy/>
  <dcterms:modified xsi:type="dcterms:W3CDTF">2026-10-31T21:56:01Z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